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7be8e1f9ac33a9/Documents/"/>
    </mc:Choice>
  </mc:AlternateContent>
  <xr:revisionPtr revIDLastSave="117" documentId="8_{C5C7ECF1-2E42-495E-878C-8DB565F054B7}" xr6:coauthVersionLast="47" xr6:coauthVersionMax="47" xr10:uidLastSave="{D740D0D0-F38F-45E5-9B4C-953FF1C41240}"/>
  <bookViews>
    <workbookView xWindow="-108" yWindow="-108" windowWidth="23256" windowHeight="12456" xr2:uid="{26F59B71-2D2C-4A3F-BC3C-2D5A33107E85}"/>
  </bookViews>
  <sheets>
    <sheet name="DATA SHEET" sheetId="1" r:id="rId1"/>
    <sheet name="Common Size Statem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1" i="2" l="1"/>
  <c r="J41" i="2"/>
  <c r="K41" i="2"/>
  <c r="L41" i="2"/>
  <c r="I42" i="2"/>
  <c r="J42" i="2"/>
  <c r="K42" i="2"/>
  <c r="L42" i="2"/>
  <c r="I43" i="2"/>
  <c r="J43" i="2"/>
  <c r="K43" i="2"/>
  <c r="L43" i="2"/>
  <c r="D41" i="2"/>
  <c r="E41" i="2"/>
  <c r="F41" i="2"/>
  <c r="G41" i="2"/>
  <c r="H41" i="2"/>
  <c r="D42" i="2"/>
  <c r="E42" i="2"/>
  <c r="F42" i="2"/>
  <c r="G42" i="2"/>
  <c r="H42" i="2"/>
  <c r="D43" i="2"/>
  <c r="E43" i="2"/>
  <c r="F43" i="2"/>
  <c r="G43" i="2"/>
  <c r="H43" i="2"/>
  <c r="C42" i="2"/>
  <c r="C43" i="2"/>
  <c r="C41" i="2"/>
  <c r="D40" i="2"/>
  <c r="E40" i="2"/>
  <c r="F40" i="2"/>
  <c r="G40" i="2"/>
  <c r="H40" i="2"/>
  <c r="I40" i="2"/>
  <c r="J40" i="2"/>
  <c r="K40" i="2"/>
  <c r="L40" i="2"/>
  <c r="C40" i="2"/>
  <c r="D37" i="2"/>
  <c r="E37" i="2"/>
  <c r="F37" i="2"/>
  <c r="G37" i="2"/>
  <c r="H37" i="2"/>
  <c r="I37" i="2"/>
  <c r="J37" i="2"/>
  <c r="K37" i="2"/>
  <c r="L37" i="2"/>
  <c r="D38" i="2"/>
  <c r="E38" i="2"/>
  <c r="F38" i="2"/>
  <c r="G38" i="2"/>
  <c r="H38" i="2"/>
  <c r="I38" i="2"/>
  <c r="J38" i="2"/>
  <c r="K38" i="2"/>
  <c r="L38" i="2"/>
  <c r="D39" i="2"/>
  <c r="E39" i="2"/>
  <c r="F39" i="2"/>
  <c r="G39" i="2"/>
  <c r="H39" i="2"/>
  <c r="I39" i="2"/>
  <c r="J39" i="2"/>
  <c r="K39" i="2"/>
  <c r="L39" i="2"/>
  <c r="C38" i="2"/>
  <c r="C39" i="2"/>
  <c r="C37" i="2"/>
  <c r="D36" i="2"/>
  <c r="E36" i="2"/>
  <c r="F36" i="2"/>
  <c r="G36" i="2"/>
  <c r="H36" i="2"/>
  <c r="I36" i="2"/>
  <c r="J36" i="2"/>
  <c r="K36" i="2"/>
  <c r="L36" i="2"/>
  <c r="C36" i="2"/>
  <c r="C68" i="1"/>
  <c r="D68" i="1"/>
  <c r="E68" i="1"/>
  <c r="F68" i="1"/>
  <c r="G68" i="1"/>
  <c r="H68" i="1"/>
  <c r="I68" i="1"/>
  <c r="J68" i="1"/>
  <c r="K68" i="1"/>
  <c r="B68" i="1"/>
  <c r="C66" i="1"/>
  <c r="D66" i="1"/>
  <c r="E66" i="1"/>
  <c r="F66" i="1"/>
  <c r="G66" i="1"/>
  <c r="H66" i="1"/>
  <c r="I66" i="1"/>
  <c r="J66" i="1"/>
  <c r="K66" i="1"/>
  <c r="B66" i="1"/>
  <c r="C32" i="2"/>
  <c r="D32" i="2"/>
  <c r="E32" i="2"/>
  <c r="F32" i="2"/>
  <c r="G32" i="2"/>
  <c r="H32" i="2"/>
  <c r="I32" i="2"/>
  <c r="J32" i="2"/>
  <c r="K32" i="2"/>
  <c r="L32" i="2"/>
  <c r="C33" i="2"/>
  <c r="D33" i="2"/>
  <c r="E33" i="2"/>
  <c r="F33" i="2"/>
  <c r="G33" i="2"/>
  <c r="H33" i="2"/>
  <c r="I33" i="2"/>
  <c r="J33" i="2"/>
  <c r="K33" i="2"/>
  <c r="L33" i="2"/>
  <c r="C34" i="2"/>
  <c r="D34" i="2"/>
  <c r="E34" i="2"/>
  <c r="F34" i="2"/>
  <c r="G34" i="2"/>
  <c r="H34" i="2"/>
  <c r="I34" i="2"/>
  <c r="J34" i="2"/>
  <c r="K34" i="2"/>
  <c r="L34" i="2"/>
  <c r="D31" i="2"/>
  <c r="E31" i="2"/>
  <c r="F31" i="2"/>
  <c r="G31" i="2"/>
  <c r="H31" i="2"/>
  <c r="I31" i="2"/>
  <c r="J31" i="2"/>
  <c r="K31" i="2"/>
  <c r="L31" i="2"/>
  <c r="C31" i="2"/>
  <c r="D30" i="2"/>
  <c r="E30" i="2"/>
  <c r="F30" i="2"/>
  <c r="G30" i="2"/>
  <c r="H30" i="2"/>
  <c r="I30" i="2"/>
  <c r="J30" i="2"/>
  <c r="K30" i="2"/>
  <c r="L30" i="2"/>
  <c r="C30" i="2"/>
  <c r="L28" i="2"/>
  <c r="D28" i="2"/>
  <c r="E28" i="2"/>
  <c r="F28" i="2"/>
  <c r="G28" i="2"/>
  <c r="H28" i="2"/>
  <c r="I28" i="2"/>
  <c r="J28" i="2"/>
  <c r="K28" i="2"/>
  <c r="C28" i="2"/>
  <c r="B28" i="2"/>
  <c r="B32" i="2"/>
  <c r="B33" i="2"/>
  <c r="B34" i="2"/>
  <c r="B37" i="2"/>
  <c r="B38" i="2"/>
  <c r="B39" i="2"/>
  <c r="B40" i="2"/>
  <c r="B31" i="2"/>
  <c r="D23" i="2"/>
  <c r="E23" i="2"/>
  <c r="F23" i="2"/>
  <c r="G23" i="2"/>
  <c r="H23" i="2"/>
  <c r="I23" i="2"/>
  <c r="J23" i="2"/>
  <c r="K23" i="2"/>
  <c r="L23" i="2"/>
  <c r="C23" i="2"/>
  <c r="C9" i="2"/>
  <c r="D9" i="2"/>
  <c r="E9" i="2"/>
  <c r="F9" i="2"/>
  <c r="G9" i="2"/>
  <c r="H9" i="2"/>
  <c r="I9" i="2"/>
  <c r="J9" i="2"/>
  <c r="K9" i="2"/>
  <c r="L9" i="2"/>
  <c r="C10" i="2"/>
  <c r="D10" i="2"/>
  <c r="E10" i="2"/>
  <c r="F10" i="2"/>
  <c r="G10" i="2"/>
  <c r="H10" i="2"/>
  <c r="I10" i="2"/>
  <c r="J10" i="2"/>
  <c r="K10" i="2"/>
  <c r="L10" i="2"/>
  <c r="C11" i="2"/>
  <c r="D11" i="2"/>
  <c r="E11" i="2"/>
  <c r="F11" i="2"/>
  <c r="G11" i="2"/>
  <c r="H11" i="2"/>
  <c r="I11" i="2"/>
  <c r="J11" i="2"/>
  <c r="K11" i="2"/>
  <c r="L11" i="2"/>
  <c r="C12" i="2"/>
  <c r="D12" i="2"/>
  <c r="E12" i="2"/>
  <c r="F12" i="2"/>
  <c r="G12" i="2"/>
  <c r="H12" i="2"/>
  <c r="I12" i="2"/>
  <c r="J12" i="2"/>
  <c r="K12" i="2"/>
  <c r="L12" i="2"/>
  <c r="C13" i="2"/>
  <c r="D13" i="2"/>
  <c r="E13" i="2"/>
  <c r="F13" i="2"/>
  <c r="G13" i="2"/>
  <c r="H13" i="2"/>
  <c r="I13" i="2"/>
  <c r="J13" i="2"/>
  <c r="K13" i="2"/>
  <c r="L13" i="2"/>
  <c r="C14" i="2"/>
  <c r="D14" i="2"/>
  <c r="E14" i="2"/>
  <c r="F14" i="2"/>
  <c r="G14" i="2"/>
  <c r="H14" i="2"/>
  <c r="I14" i="2"/>
  <c r="J14" i="2"/>
  <c r="K14" i="2"/>
  <c r="L14" i="2"/>
  <c r="C15" i="2"/>
  <c r="D15" i="2"/>
  <c r="E15" i="2"/>
  <c r="F15" i="2"/>
  <c r="G15" i="2"/>
  <c r="H15" i="2"/>
  <c r="I15" i="2"/>
  <c r="J15" i="2"/>
  <c r="K15" i="2"/>
  <c r="L15" i="2"/>
  <c r="C16" i="2"/>
  <c r="D16" i="2"/>
  <c r="E16" i="2"/>
  <c r="F16" i="2"/>
  <c r="G16" i="2"/>
  <c r="H16" i="2"/>
  <c r="I16" i="2"/>
  <c r="J16" i="2"/>
  <c r="K16" i="2"/>
  <c r="L16" i="2"/>
  <c r="C17" i="2"/>
  <c r="D17" i="2"/>
  <c r="E17" i="2"/>
  <c r="F17" i="2"/>
  <c r="G17" i="2"/>
  <c r="H17" i="2"/>
  <c r="I17" i="2"/>
  <c r="J17" i="2"/>
  <c r="K17" i="2"/>
  <c r="L17" i="2"/>
  <c r="C18" i="2"/>
  <c r="D18" i="2"/>
  <c r="E18" i="2"/>
  <c r="F18" i="2"/>
  <c r="G18" i="2"/>
  <c r="H18" i="2"/>
  <c r="I18" i="2"/>
  <c r="J18" i="2"/>
  <c r="K18" i="2"/>
  <c r="L18" i="2"/>
  <c r="C19" i="2"/>
  <c r="D19" i="2"/>
  <c r="E19" i="2"/>
  <c r="F19" i="2"/>
  <c r="G19" i="2"/>
  <c r="H19" i="2"/>
  <c r="I19" i="2"/>
  <c r="J19" i="2"/>
  <c r="K19" i="2"/>
  <c r="L19" i="2"/>
  <c r="C20" i="2"/>
  <c r="D20" i="2"/>
  <c r="E20" i="2"/>
  <c r="F20" i="2"/>
  <c r="G20" i="2"/>
  <c r="H20" i="2"/>
  <c r="I20" i="2"/>
  <c r="J20" i="2"/>
  <c r="K20" i="2"/>
  <c r="L20" i="2"/>
  <c r="C21" i="2"/>
  <c r="D21" i="2"/>
  <c r="E21" i="2"/>
  <c r="F21" i="2"/>
  <c r="G21" i="2"/>
  <c r="H21" i="2"/>
  <c r="I21" i="2"/>
  <c r="J21" i="2"/>
  <c r="K21" i="2"/>
  <c r="L21" i="2"/>
  <c r="C22" i="2"/>
  <c r="D22" i="2"/>
  <c r="E22" i="2"/>
  <c r="F22" i="2"/>
  <c r="G22" i="2"/>
  <c r="H22" i="2"/>
  <c r="I22" i="2"/>
  <c r="J22" i="2"/>
  <c r="K22" i="2"/>
  <c r="L22" i="2"/>
  <c r="L8" i="2"/>
  <c r="D8" i="2"/>
  <c r="E8" i="2"/>
  <c r="F8" i="2"/>
  <c r="G8" i="2"/>
  <c r="H8" i="2"/>
  <c r="I8" i="2"/>
  <c r="J8" i="2"/>
  <c r="K8" i="2"/>
  <c r="C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8" i="2"/>
  <c r="L6" i="2"/>
  <c r="J6" i="2"/>
  <c r="K6" i="2"/>
  <c r="D6" i="2"/>
  <c r="E6" i="2"/>
  <c r="F6" i="2"/>
  <c r="G6" i="2"/>
  <c r="H6" i="2"/>
  <c r="I6" i="2"/>
  <c r="C6" i="2"/>
  <c r="K25" i="1"/>
  <c r="J25" i="1"/>
  <c r="I25" i="1"/>
  <c r="H25" i="1"/>
  <c r="G25" i="1"/>
  <c r="F25" i="1"/>
  <c r="E25" i="1"/>
  <c r="D25" i="1"/>
  <c r="C25" i="1"/>
  <c r="B25" i="1"/>
</calcChain>
</file>

<file path=xl/sharedStrings.xml><?xml version="1.0" encoding="utf-8"?>
<sst xmlns="http://schemas.openxmlformats.org/spreadsheetml/2006/main" count="67" uniqueCount="52">
  <si>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</si>
  <si>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</si>
  <si>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</si>
  <si>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</si>
  <si>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</si>
  <si>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</si>
  <si>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</si>
  <si>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</si>
  <si>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</si>
  <si>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</si>
  <si>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</si>
  <si>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</si>
  <si>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</si>
  <si>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</si>
  <si>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</si>
  <si>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</si>
  <si>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</si>
  <si>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EBITDA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</si>
  <si>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</si>
  <si>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</si>
  <si>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</si>
  <si>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</si>
  <si>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</si>
  <si>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</si>
  <si>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</si>
  <si>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</si>
  <si>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</si>
  <si>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</si>
  <si>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</si>
  <si>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</si>
  <si>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</si>
  <si>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</si>
  <si>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</si>
  <si>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</si>
  <si>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</si>
  <si>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</si>
  <si>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</si>
  <si>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</si>
  <si>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</si>
  <si>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</si>
  <si>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</si>
  <si>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</si>
  <si>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</si>
  <si>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</si>
  <si>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</si>
  <si>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Particulars</t>
  </si>
  <si>
    <t>Common Size Income Statement - TATA MOTORS LTD</t>
  </si>
  <si>
    <t>Common Size Balance Sheet - TATA MOTORS LTD</t>
  </si>
  <si>
    <t>Total Liablities</t>
  </si>
  <si>
    <t>Total Assets</t>
  </si>
  <si>
    <t>Total asset</t>
  </si>
  <si>
    <t>other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</si>
</sst>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[$-409]mmm\-yy;@"/>
    <numFmt numFmtId="165" formatCode="_(* #,##0.00_);_(* \(#,##0.00\);_(* &quot;-&quot;??_);_(@_)"/>
    <numFmt numFmtId="166" formatCode="0.0%"/>
  </numFmts>
  <fonts count="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43" fontId="4" fillId="0" borderId="0" xfId="1" applyFont="1" applyBorder="1"/>
    <xf numFmtId="43" fontId="0" fillId="0" borderId="0" xfId="1" applyFont="1" applyBorder="1"/>
    <xf numFmtId="164" fontId="5" fillId="2" borderId="0" xfId="1" applyNumberFormat="1" applyFont="1" applyFill="1" applyBorder="1"/>
    <xf numFmtId="164" fontId="5" fillId="2" borderId="0" xfId="0" applyNumberFormat="1" applyFont="1" applyFill="1" applyAlignment="1">
      <alignment horizontal="center"/>
    </xf>
    <xf numFmtId="164" fontId="6" fillId="0" borderId="0" xfId="1" applyNumberFormat="1" applyFont="1" applyFill="1" applyBorder="1"/>
    <xf numFmtId="43" fontId="3" fillId="0" borderId="0" xfId="1" applyFont="1" applyBorder="1"/>
    <xf numFmtId="165" fontId="0" fillId="0" borderId="0" xfId="1" applyNumberFormat="1" applyFont="1" applyBorder="1"/>
    <xf numFmtId="0" fontId="2" fillId="0" borderId="1" xfId="0" applyFont="1" applyBorder="1"/>
    <xf numFmtId="17" fontId="2" fillId="0" borderId="1" xfId="0" applyNumberFormat="1" applyFont="1" applyBorder="1"/>
    <xf numFmtId="43" fontId="0" fillId="0" borderId="0" xfId="0" applyNumberFormat="1"/>
    <xf numFmtId="43" fontId="0" fillId="0" borderId="0" xfId="0" applyNumberFormat="1" applyAlignment="1">
      <alignment horizontal="left"/>
    </xf>
    <xf numFmtId="10" fontId="0" fillId="0" borderId="0" xfId="2" applyNumberFormat="1" applyFont="1"/>
    <xf numFmtId="0" fontId="2" fillId="0" borderId="0" xfId="0" applyFont="1"/>
    <xf numFmtId="43" fontId="2" fillId="0" borderId="0" xfId="0" applyNumberFormat="1" applyFont="1"/>
    <xf numFmtId="9" fontId="2" fillId="0" borderId="0" xfId="2" applyFont="1"/>
    <xf numFmtId="0" fontId="7" fillId="3" borderId="0" xfId="0" applyFont="1" applyFill="1" applyAlignment="1">
      <alignment horizontal="center"/>
    </xf>
    <xf numFmtId="166" fontId="3" fillId="0" borderId="0" xfId="2" applyNumberFormat="1" applyFont="1" applyBorder="1"/>
    <xf numFmtId="10" fontId="0" fillId="0" borderId="0" xfId="2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C2E5B-6DA6-45AF-824F-D54AA638CA2E}">
  <dimension ref="A7:Q86"/>
  <sheetViews>
    <sheetView tabSelected="1" topLeftCell="A3" workbookViewId="0">
      <selection activeCell="M9" sqref="M9:M22"/>
    </sheetView>
  </sheetViews>
  <sheetFormatPr defaultRowHeight="14.4" x14ac:dyDescent="0.3"/>
  <cols>
    <col min="2" max="2" width="12.33203125" customWidth="1"/>
    <col min="3" max="11" width="11.33203125" bestFit="1" customWidth="1"/>
  </cols>
  <sheetData>
    <row r="7" spans="1:17" s="2" customFormat="1" x14ac:dyDescent="0.3">
      <c r="A7" s="1" t="s">
        <v>0</v>
      </c>
    </row>
    <row r="8" spans="1:17" s="5" customFormat="1" x14ac:dyDescent="0.3">
      <c r="A8" s="3" t="s">
        <v>1</v>
      </c>
      <c r="B8" s="4">
        <v>42460</v>
      </c>
      <c r="C8" s="4">
        <v>42825</v>
      </c>
      <c r="D8" s="4">
        <v>43190</v>
      </c>
      <c r="E8" s="4">
        <v>43555</v>
      </c>
      <c r="F8" s="4">
        <v>43921</v>
      </c>
      <c r="G8" s="4">
        <v>44286</v>
      </c>
      <c r="H8" s="4">
        <v>44651</v>
      </c>
      <c r="I8" s="4">
        <v>45016</v>
      </c>
      <c r="J8" s="4">
        <v>45382</v>
      </c>
      <c r="K8" s="4">
        <v>45747</v>
      </c>
    </row>
    <row r="9" spans="1:17" s="6" customFormat="1" x14ac:dyDescent="0.3">
      <c r="A9" s="6" t="s">
        <v>2</v>
      </c>
      <c r="B9">
        <v>273045.59999999998</v>
      </c>
      <c r="C9">
        <v>269692.51</v>
      </c>
      <c r="D9">
        <v>291550.48</v>
      </c>
      <c r="E9">
        <v>301938.40000000002</v>
      </c>
      <c r="F9">
        <v>261067.97</v>
      </c>
      <c r="G9">
        <v>249794.75</v>
      </c>
      <c r="H9">
        <v>278453.62</v>
      </c>
      <c r="I9">
        <v>345966.97</v>
      </c>
      <c r="J9">
        <v>434016</v>
      </c>
      <c r="K9">
        <v>439695</v>
      </c>
      <c r="M9" s="17"/>
      <c r="N9" s="17"/>
      <c r="O9" s="17"/>
      <c r="P9" s="17"/>
      <c r="Q9" s="17"/>
    </row>
    <row r="10" spans="1:17" s="6" customFormat="1" x14ac:dyDescent="0.3">
      <c r="A10" s="2" t="s">
        <v>3</v>
      </c>
      <c r="B10">
        <v>166134.01</v>
      </c>
      <c r="C10">
        <v>173294.07999999999</v>
      </c>
      <c r="D10">
        <v>187896.58</v>
      </c>
      <c r="E10">
        <v>194267.91</v>
      </c>
      <c r="F10">
        <v>164899.82</v>
      </c>
      <c r="G10">
        <v>153607.35999999999</v>
      </c>
      <c r="H10">
        <v>179295.33</v>
      </c>
      <c r="I10">
        <v>231251.26</v>
      </c>
      <c r="J10">
        <v>274321</v>
      </c>
      <c r="K10">
        <v>268950</v>
      </c>
      <c r="M10" s="17"/>
      <c r="N10" s="17"/>
      <c r="O10" s="17"/>
      <c r="P10" s="17"/>
      <c r="Q10" s="17"/>
    </row>
    <row r="11" spans="1:17" s="6" customFormat="1" x14ac:dyDescent="0.3">
      <c r="A11" s="2" t="s">
        <v>4</v>
      </c>
      <c r="B11">
        <v>2750.99</v>
      </c>
      <c r="C11">
        <v>7399.92</v>
      </c>
      <c r="D11">
        <v>2046.58</v>
      </c>
      <c r="E11">
        <v>-2053.2800000000002</v>
      </c>
      <c r="F11">
        <v>-2231.19</v>
      </c>
      <c r="G11">
        <v>-4684.16</v>
      </c>
      <c r="H11">
        <v>-1590.49</v>
      </c>
      <c r="I11">
        <v>4781.62</v>
      </c>
      <c r="J11">
        <v>1566</v>
      </c>
      <c r="K11">
        <v>-2836</v>
      </c>
      <c r="M11" s="17"/>
      <c r="N11" s="17"/>
      <c r="O11" s="17"/>
      <c r="P11" s="17"/>
      <c r="Q11" s="17"/>
    </row>
    <row r="12" spans="1:17" s="6" customFormat="1" x14ac:dyDescent="0.3">
      <c r="A12" s="2" t="s">
        <v>5</v>
      </c>
      <c r="B12">
        <v>1143.6300000000001</v>
      </c>
      <c r="C12">
        <v>1159.82</v>
      </c>
      <c r="D12">
        <v>1308.08</v>
      </c>
      <c r="E12">
        <v>1585.93</v>
      </c>
      <c r="F12">
        <v>1264.95</v>
      </c>
      <c r="G12">
        <v>1112.8699999999999</v>
      </c>
      <c r="H12">
        <v>2178.29</v>
      </c>
      <c r="I12">
        <v>2513.33</v>
      </c>
      <c r="J12">
        <v>2189</v>
      </c>
      <c r="K12">
        <v>2443</v>
      </c>
      <c r="M12" s="17"/>
      <c r="N12" s="17"/>
      <c r="O12" s="17"/>
      <c r="P12" s="17"/>
      <c r="Q12" s="17"/>
    </row>
    <row r="13" spans="1:17" s="6" customFormat="1" x14ac:dyDescent="0.3">
      <c r="A13" s="2" t="s">
        <v>6</v>
      </c>
      <c r="B13">
        <v>12101.53</v>
      </c>
      <c r="C13">
        <v>10067.370000000001</v>
      </c>
      <c r="D13">
        <v>10971.66</v>
      </c>
      <c r="E13">
        <v>11694.54</v>
      </c>
      <c r="F13">
        <v>11541.51</v>
      </c>
      <c r="G13">
        <v>8273.17</v>
      </c>
      <c r="H13">
        <v>9427.3799999999992</v>
      </c>
      <c r="I13">
        <v>11765.97</v>
      </c>
      <c r="J13">
        <v>17446</v>
      </c>
      <c r="K13">
        <v>18813</v>
      </c>
      <c r="M13" s="17"/>
      <c r="N13" s="17"/>
      <c r="O13" s="17"/>
      <c r="P13" s="17"/>
      <c r="Q13" s="17"/>
    </row>
    <row r="14" spans="1:17" s="6" customFormat="1" x14ac:dyDescent="0.3">
      <c r="A14" s="2" t="s">
        <v>7</v>
      </c>
      <c r="B14">
        <v>28880.89</v>
      </c>
      <c r="C14">
        <v>28332.89</v>
      </c>
      <c r="D14">
        <v>30300.09</v>
      </c>
      <c r="E14">
        <v>33243.870000000003</v>
      </c>
      <c r="F14">
        <v>30438.6</v>
      </c>
      <c r="G14">
        <v>27648.48</v>
      </c>
      <c r="H14">
        <v>30808.52</v>
      </c>
      <c r="I14">
        <v>33654.699999999997</v>
      </c>
      <c r="J14">
        <v>41990</v>
      </c>
      <c r="K14">
        <v>47767</v>
      </c>
      <c r="M14" s="17"/>
      <c r="N14" s="17"/>
      <c r="O14" s="17"/>
      <c r="P14" s="17"/>
      <c r="Q14" s="17"/>
    </row>
    <row r="15" spans="1:17" s="6" customFormat="1" x14ac:dyDescent="0.3">
      <c r="A15" s="2" t="s">
        <v>8</v>
      </c>
      <c r="B15">
        <v>21991.9</v>
      </c>
      <c r="C15">
        <v>30039.38</v>
      </c>
      <c r="D15">
        <v>31004.58</v>
      </c>
      <c r="E15">
        <v>32719.8</v>
      </c>
      <c r="F15">
        <v>29248.32</v>
      </c>
      <c r="G15">
        <v>23015.79</v>
      </c>
      <c r="H15">
        <v>29205.4</v>
      </c>
      <c r="I15">
        <v>34839.19</v>
      </c>
      <c r="J15">
        <v>42765</v>
      </c>
      <c r="K15">
        <v>47099</v>
      </c>
      <c r="M15" s="17"/>
      <c r="N15" s="17"/>
      <c r="O15" s="17"/>
      <c r="P15" s="17"/>
      <c r="Q15" s="17"/>
    </row>
    <row r="16" spans="1:17" s="6" customFormat="1" x14ac:dyDescent="0.3">
      <c r="A16" s="2" t="s">
        <v>9</v>
      </c>
      <c r="B16">
        <v>7149.38</v>
      </c>
      <c r="C16">
        <v>4610.2</v>
      </c>
      <c r="D16">
        <v>658.39</v>
      </c>
      <c r="E16">
        <v>1708.74</v>
      </c>
      <c r="F16">
        <v>3456.51</v>
      </c>
      <c r="G16">
        <v>-834.51</v>
      </c>
      <c r="H16">
        <v>1228.1199999999999</v>
      </c>
      <c r="I16">
        <v>4908.34</v>
      </c>
      <c r="J16">
        <v>-953</v>
      </c>
      <c r="K16">
        <v>-3429</v>
      </c>
      <c r="M16" s="17"/>
      <c r="N16" s="17"/>
      <c r="O16" s="17"/>
      <c r="P16" s="17"/>
      <c r="Q16" s="17"/>
    </row>
    <row r="17" spans="1:17" s="6" customFormat="1" x14ac:dyDescent="0.3">
      <c r="A17" s="6" t="s">
        <v>10</v>
      </c>
      <c r="B17">
        <v>-2669.62</v>
      </c>
      <c r="C17">
        <v>1869.1</v>
      </c>
      <c r="D17">
        <v>5932.73</v>
      </c>
      <c r="E17">
        <v>-26686.25</v>
      </c>
      <c r="F17">
        <v>101.71</v>
      </c>
      <c r="G17">
        <v>-11117.83</v>
      </c>
      <c r="H17">
        <v>2424.0500000000002</v>
      </c>
      <c r="I17">
        <v>6663.97</v>
      </c>
      <c r="J17">
        <v>4792</v>
      </c>
      <c r="K17">
        <v>11774</v>
      </c>
      <c r="M17" s="17"/>
      <c r="N17" s="17"/>
      <c r="O17" s="17"/>
      <c r="P17" s="17"/>
      <c r="Q17" s="17"/>
    </row>
    <row r="18" spans="1:17" s="6" customFormat="1" x14ac:dyDescent="0.3">
      <c r="A18" s="6" t="s">
        <v>11</v>
      </c>
      <c r="B18">
        <v>16710.78</v>
      </c>
      <c r="C18">
        <v>17904.990000000002</v>
      </c>
      <c r="D18">
        <v>21553.59</v>
      </c>
      <c r="E18">
        <v>23590.63</v>
      </c>
      <c r="F18">
        <v>21425.43</v>
      </c>
      <c r="G18">
        <v>23546.71</v>
      </c>
      <c r="H18">
        <v>24835.69</v>
      </c>
      <c r="I18">
        <v>24860.36</v>
      </c>
      <c r="J18">
        <v>27239</v>
      </c>
      <c r="K18">
        <v>23256</v>
      </c>
      <c r="M18" s="17"/>
      <c r="N18" s="17"/>
      <c r="O18" s="17"/>
      <c r="P18" s="17"/>
      <c r="Q18" s="17"/>
    </row>
    <row r="19" spans="1:17" s="6" customFormat="1" x14ac:dyDescent="0.3">
      <c r="A19" s="6" t="s">
        <v>12</v>
      </c>
      <c r="B19">
        <v>4889.08</v>
      </c>
      <c r="C19">
        <v>4238.01</v>
      </c>
      <c r="D19">
        <v>4681.79</v>
      </c>
      <c r="E19">
        <v>5758.6</v>
      </c>
      <c r="F19">
        <v>7243.33</v>
      </c>
      <c r="G19">
        <v>8097.17</v>
      </c>
      <c r="H19">
        <v>9311.86</v>
      </c>
      <c r="I19">
        <v>10225.48</v>
      </c>
      <c r="J19">
        <v>7594</v>
      </c>
      <c r="K19">
        <v>5083</v>
      </c>
      <c r="M19" s="17"/>
      <c r="N19" s="17"/>
      <c r="O19" s="17"/>
      <c r="P19" s="17"/>
      <c r="Q19" s="17"/>
    </row>
    <row r="20" spans="1:17" s="6" customFormat="1" x14ac:dyDescent="0.3">
      <c r="A20" s="6" t="s">
        <v>13</v>
      </c>
      <c r="B20">
        <v>14125.77</v>
      </c>
      <c r="C20">
        <v>9314.7900000000009</v>
      </c>
      <c r="D20">
        <v>11155.03</v>
      </c>
      <c r="E20">
        <v>-31371.15</v>
      </c>
      <c r="F20">
        <v>-10579.98</v>
      </c>
      <c r="G20">
        <v>-10474.280000000001</v>
      </c>
      <c r="H20">
        <v>-7003.41</v>
      </c>
      <c r="I20">
        <v>3393.93</v>
      </c>
      <c r="J20">
        <v>27783</v>
      </c>
      <c r="K20">
        <v>38651</v>
      </c>
      <c r="M20" s="17"/>
    </row>
    <row r="21" spans="1:17" s="6" customFormat="1" x14ac:dyDescent="0.3">
      <c r="A21" s="6" t="s">
        <v>14</v>
      </c>
      <c r="B21">
        <v>3025.05</v>
      </c>
      <c r="C21">
        <v>3251.23</v>
      </c>
      <c r="D21">
        <v>4341.93</v>
      </c>
      <c r="E21">
        <v>-2437.4499999999998</v>
      </c>
      <c r="F21">
        <v>395.25</v>
      </c>
      <c r="G21">
        <v>2541.86</v>
      </c>
      <c r="H21">
        <v>4231.29</v>
      </c>
      <c r="I21">
        <v>704.06</v>
      </c>
      <c r="J21">
        <v>-4024</v>
      </c>
      <c r="K21">
        <v>10502</v>
      </c>
      <c r="M21" s="17"/>
    </row>
    <row r="22" spans="1:17" s="6" customFormat="1" x14ac:dyDescent="0.3">
      <c r="A22" s="6" t="s">
        <v>15</v>
      </c>
      <c r="B22">
        <v>11579.31</v>
      </c>
      <c r="C22">
        <v>7454.36</v>
      </c>
      <c r="D22">
        <v>8988.91</v>
      </c>
      <c r="E22">
        <v>-28826.23</v>
      </c>
      <c r="F22">
        <v>-12070.85</v>
      </c>
      <c r="G22">
        <v>-13451.39</v>
      </c>
      <c r="H22">
        <v>-11441.47</v>
      </c>
      <c r="I22">
        <v>2414.29</v>
      </c>
      <c r="J22">
        <v>31399</v>
      </c>
      <c r="K22">
        <v>27830</v>
      </c>
      <c r="M22" s="17"/>
    </row>
    <row r="23" spans="1:17" s="6" customFormat="1" x14ac:dyDescent="0.3">
      <c r="A23" s="6" t="s">
        <v>16</v>
      </c>
      <c r="B23">
        <v>67.92</v>
      </c>
      <c r="I23">
        <v>766.02</v>
      </c>
      <c r="J23">
        <v>2301</v>
      </c>
      <c r="K23">
        <v>2208</v>
      </c>
    </row>
    <row r="24" spans="1:17" s="6" customFormat="1" x14ac:dyDescent="0.3"/>
    <row r="25" spans="1:17" s="2" customFormat="1" x14ac:dyDescent="0.3">
      <c r="A25" s="6" t="s">
        <v>17</v>
      </c>
      <c r="B25" s="2">
        <f>B22+B21+B19+B18</f>
        <v>36204.22</v>
      </c>
      <c r="C25" s="2">
        <f t="shared" ref="C25:K25" si="0">C22+C21+C19+C18</f>
        <v>32848.590000000004</v>
      </c>
      <c r="D25" s="2">
        <f t="shared" si="0"/>
        <v>39566.22</v>
      </c>
      <c r="E25" s="2">
        <f t="shared" si="0"/>
        <v>-1914.4500000000007</v>
      </c>
      <c r="F25" s="2">
        <f t="shared" si="0"/>
        <v>16993.16</v>
      </c>
      <c r="G25" s="2">
        <f t="shared" si="0"/>
        <v>20734.349999999999</v>
      </c>
      <c r="H25" s="2">
        <f t="shared" si="0"/>
        <v>26937.37</v>
      </c>
      <c r="I25" s="2">
        <f t="shared" si="0"/>
        <v>38204.19</v>
      </c>
      <c r="J25" s="2">
        <f t="shared" si="0"/>
        <v>62208</v>
      </c>
      <c r="K25" s="2">
        <f t="shared" si="0"/>
        <v>66671</v>
      </c>
    </row>
    <row r="26" spans="1:17" s="2" customFormat="1" x14ac:dyDescent="0.3">
      <c r="A26" s="6"/>
    </row>
    <row r="27" spans="1:17" s="2" customFormat="1" x14ac:dyDescent="0.3">
      <c r="A27" s="6"/>
    </row>
    <row r="28" spans="1:17" s="2" customFormat="1" x14ac:dyDescent="0.3">
      <c r="A28" s="6"/>
    </row>
    <row r="29" spans="1:17" s="2" customFormat="1" x14ac:dyDescent="0.3">
      <c r="A29" s="6"/>
    </row>
    <row r="30" spans="1:17" s="2" customFormat="1" x14ac:dyDescent="0.3">
      <c r="A30" s="6"/>
    </row>
    <row r="31" spans="1:17" s="2" customFormat="1" x14ac:dyDescent="0.3">
      <c r="A31" s="6"/>
    </row>
    <row r="32" spans="1:17" s="2" customFormat="1" x14ac:dyDescent="0.3">
      <c r="A32" s="1" t="s">
        <v>18</v>
      </c>
    </row>
    <row r="33" spans="1:11" s="5" customFormat="1" x14ac:dyDescent="0.3">
      <c r="A33" s="3" t="s">
        <v>1</v>
      </c>
      <c r="B33" s="4">
        <v>45016</v>
      </c>
      <c r="C33" s="4">
        <v>45107</v>
      </c>
      <c r="D33" s="4">
        <v>45199</v>
      </c>
      <c r="E33" s="4">
        <v>45291</v>
      </c>
      <c r="F33" s="4">
        <v>45382</v>
      </c>
      <c r="G33" s="4">
        <v>45473</v>
      </c>
      <c r="H33" s="4">
        <v>45565</v>
      </c>
      <c r="I33" s="4">
        <v>45657</v>
      </c>
      <c r="J33" s="4">
        <v>45747</v>
      </c>
      <c r="K33" s="4">
        <v>45838</v>
      </c>
    </row>
    <row r="34" spans="1:11" s="6" customFormat="1" x14ac:dyDescent="0.3">
      <c r="A34" s="6" t="s">
        <v>2</v>
      </c>
      <c r="B34">
        <v>105932.35</v>
      </c>
      <c r="C34">
        <v>102236</v>
      </c>
      <c r="D34">
        <v>105129</v>
      </c>
      <c r="E34">
        <v>110577</v>
      </c>
      <c r="F34">
        <v>119033</v>
      </c>
      <c r="G34">
        <v>107102</v>
      </c>
      <c r="H34">
        <v>101450</v>
      </c>
      <c r="I34">
        <v>112608</v>
      </c>
      <c r="J34">
        <v>119503</v>
      </c>
      <c r="K34">
        <v>104407</v>
      </c>
    </row>
    <row r="35" spans="1:11" s="6" customFormat="1" x14ac:dyDescent="0.3">
      <c r="A35" s="6" t="s">
        <v>19</v>
      </c>
      <c r="B35">
        <v>92817.95</v>
      </c>
      <c r="C35">
        <v>89019</v>
      </c>
      <c r="D35">
        <v>91362</v>
      </c>
      <c r="E35">
        <v>95159</v>
      </c>
      <c r="F35">
        <v>102348</v>
      </c>
      <c r="G35">
        <v>91854</v>
      </c>
      <c r="H35">
        <v>89291</v>
      </c>
      <c r="I35">
        <v>100185</v>
      </c>
      <c r="J35">
        <v>102685</v>
      </c>
      <c r="K35">
        <v>94183</v>
      </c>
    </row>
    <row r="36" spans="1:11" s="6" customFormat="1" x14ac:dyDescent="0.3">
      <c r="A36" s="6" t="s">
        <v>10</v>
      </c>
      <c r="B36">
        <v>1452.86</v>
      </c>
      <c r="C36">
        <v>895</v>
      </c>
      <c r="D36">
        <v>1557</v>
      </c>
      <c r="E36">
        <v>1604</v>
      </c>
      <c r="F36">
        <v>1412</v>
      </c>
      <c r="G36">
        <v>6553</v>
      </c>
      <c r="H36">
        <v>1647</v>
      </c>
      <c r="I36">
        <v>1700</v>
      </c>
      <c r="J36">
        <v>1057</v>
      </c>
      <c r="K36">
        <v>1595</v>
      </c>
    </row>
    <row r="37" spans="1:11" s="6" customFormat="1" x14ac:dyDescent="0.3">
      <c r="A37" s="6" t="s">
        <v>11</v>
      </c>
      <c r="B37">
        <v>7050.2</v>
      </c>
      <c r="C37">
        <v>6633</v>
      </c>
      <c r="D37">
        <v>6637</v>
      </c>
      <c r="E37">
        <v>6850</v>
      </c>
      <c r="F37">
        <v>7143</v>
      </c>
      <c r="G37">
        <v>6565</v>
      </c>
      <c r="H37">
        <v>6005</v>
      </c>
      <c r="I37">
        <v>5399</v>
      </c>
      <c r="J37">
        <v>5295</v>
      </c>
      <c r="K37">
        <v>5320</v>
      </c>
    </row>
    <row r="38" spans="1:11" s="6" customFormat="1" x14ac:dyDescent="0.3">
      <c r="A38" s="6" t="s">
        <v>12</v>
      </c>
      <c r="B38">
        <v>2641.67</v>
      </c>
      <c r="C38">
        <v>2615</v>
      </c>
      <c r="D38">
        <v>2652</v>
      </c>
      <c r="E38">
        <v>2485</v>
      </c>
      <c r="F38">
        <v>1645</v>
      </c>
      <c r="G38">
        <v>1471</v>
      </c>
      <c r="H38">
        <v>2034</v>
      </c>
      <c r="I38">
        <v>1119</v>
      </c>
      <c r="J38">
        <v>1076</v>
      </c>
      <c r="K38">
        <v>938</v>
      </c>
    </row>
    <row r="39" spans="1:11" s="6" customFormat="1" x14ac:dyDescent="0.3">
      <c r="A39" s="6" t="s">
        <v>13</v>
      </c>
      <c r="B39">
        <v>4875.3900000000003</v>
      </c>
      <c r="C39">
        <v>4864</v>
      </c>
      <c r="D39">
        <v>6035</v>
      </c>
      <c r="E39">
        <v>7687</v>
      </c>
      <c r="F39">
        <v>9309</v>
      </c>
      <c r="G39">
        <v>13765</v>
      </c>
      <c r="H39">
        <v>5767</v>
      </c>
      <c r="I39">
        <v>7605</v>
      </c>
      <c r="J39">
        <v>11504</v>
      </c>
      <c r="K39">
        <v>5561</v>
      </c>
    </row>
    <row r="40" spans="1:11" s="6" customFormat="1" x14ac:dyDescent="0.3">
      <c r="A40" s="6" t="s">
        <v>14</v>
      </c>
      <c r="B40">
        <v>-620.65</v>
      </c>
      <c r="C40">
        <v>1563</v>
      </c>
      <c r="D40">
        <v>2203</v>
      </c>
      <c r="E40">
        <v>542</v>
      </c>
      <c r="F40">
        <v>-8219</v>
      </c>
      <c r="G40">
        <v>3178</v>
      </c>
      <c r="H40">
        <v>2317</v>
      </c>
      <c r="I40">
        <v>2120</v>
      </c>
      <c r="J40">
        <v>2948</v>
      </c>
      <c r="K40">
        <v>1558</v>
      </c>
    </row>
    <row r="41" spans="1:11" s="6" customFormat="1" x14ac:dyDescent="0.3">
      <c r="A41" s="6" t="s">
        <v>15</v>
      </c>
      <c r="B41">
        <v>5407.79</v>
      </c>
      <c r="C41">
        <v>3203</v>
      </c>
      <c r="D41">
        <v>3764</v>
      </c>
      <c r="E41">
        <v>7025</v>
      </c>
      <c r="F41">
        <v>17407</v>
      </c>
      <c r="G41">
        <v>10514</v>
      </c>
      <c r="H41">
        <v>3343</v>
      </c>
      <c r="I41">
        <v>5406</v>
      </c>
      <c r="J41">
        <v>8470</v>
      </c>
      <c r="K41">
        <v>3924</v>
      </c>
    </row>
    <row r="42" spans="1:11" s="2" customFormat="1" x14ac:dyDescent="0.3">
      <c r="A42" s="6" t="s">
        <v>20</v>
      </c>
      <c r="B42">
        <v>13114.4</v>
      </c>
      <c r="C42">
        <v>13217</v>
      </c>
      <c r="D42">
        <v>13767</v>
      </c>
      <c r="E42">
        <v>15418</v>
      </c>
      <c r="F42">
        <v>16685</v>
      </c>
      <c r="G42">
        <v>15248</v>
      </c>
      <c r="H42">
        <v>12159</v>
      </c>
      <c r="I42">
        <v>12423</v>
      </c>
      <c r="J42">
        <v>16818</v>
      </c>
      <c r="K42">
        <v>10224</v>
      </c>
    </row>
    <row r="43" spans="1:11" s="2" customFormat="1" x14ac:dyDescent="0.3">
      <c r="A43" s="6"/>
    </row>
    <row r="44" spans="1:11" s="2" customFormat="1" x14ac:dyDescent="0.3">
      <c r="A44" s="6"/>
    </row>
    <row r="45" spans="1:11" s="2" customFormat="1" x14ac:dyDescent="0.3">
      <c r="A45" s="6"/>
    </row>
    <row r="46" spans="1:11" s="2" customFormat="1" x14ac:dyDescent="0.3">
      <c r="A46" s="6"/>
    </row>
    <row r="47" spans="1:11" s="2" customFormat="1" x14ac:dyDescent="0.3">
      <c r="A47" s="1" t="s">
        <v>21</v>
      </c>
    </row>
    <row r="48" spans="1:11" s="5" customFormat="1" x14ac:dyDescent="0.3">
      <c r="A48" s="3" t="s">
        <v>1</v>
      </c>
      <c r="B48" s="4">
        <v>42460</v>
      </c>
      <c r="C48" s="4">
        <v>42825</v>
      </c>
      <c r="D48" s="4">
        <v>43190</v>
      </c>
      <c r="E48" s="4">
        <v>43555</v>
      </c>
      <c r="F48" s="4">
        <v>43921</v>
      </c>
      <c r="G48" s="4">
        <v>44286</v>
      </c>
      <c r="H48" s="4">
        <v>44651</v>
      </c>
      <c r="I48" s="4">
        <v>45016</v>
      </c>
      <c r="J48" s="4">
        <v>45382</v>
      </c>
      <c r="K48" s="4">
        <v>45747</v>
      </c>
    </row>
    <row r="49" spans="1:13" s="2" customFormat="1" x14ac:dyDescent="0.3">
      <c r="A49" s="6" t="s">
        <v>22</v>
      </c>
      <c r="B49">
        <v>679.18</v>
      </c>
      <c r="C49">
        <v>679.22</v>
      </c>
      <c r="D49">
        <v>679.22</v>
      </c>
      <c r="E49">
        <v>679.22</v>
      </c>
      <c r="F49">
        <v>719.54</v>
      </c>
      <c r="G49">
        <v>765.81</v>
      </c>
      <c r="H49">
        <v>765.88</v>
      </c>
      <c r="I49">
        <v>766.02</v>
      </c>
      <c r="J49">
        <v>767</v>
      </c>
      <c r="K49">
        <v>736</v>
      </c>
    </row>
    <row r="50" spans="1:13" s="2" customFormat="1" x14ac:dyDescent="0.3">
      <c r="A50" s="6" t="s">
        <v>23</v>
      </c>
      <c r="B50">
        <v>78273.23</v>
      </c>
      <c r="C50">
        <v>57382.67</v>
      </c>
      <c r="D50">
        <v>94748.69</v>
      </c>
      <c r="E50">
        <v>59500.34</v>
      </c>
      <c r="F50">
        <v>62358.99</v>
      </c>
      <c r="G50">
        <v>54480.91</v>
      </c>
      <c r="H50">
        <v>43795.360000000001</v>
      </c>
      <c r="I50">
        <v>44555.77</v>
      </c>
      <c r="J50">
        <v>84151</v>
      </c>
      <c r="K50">
        <v>115408</v>
      </c>
    </row>
    <row r="51" spans="1:13" s="2" customFormat="1" x14ac:dyDescent="0.3">
      <c r="A51" s="6" t="s">
        <v>24</v>
      </c>
      <c r="B51">
        <v>69359.960000000006</v>
      </c>
      <c r="C51">
        <v>78603.98</v>
      </c>
      <c r="D51">
        <v>88950.47</v>
      </c>
      <c r="E51">
        <v>106175.34</v>
      </c>
      <c r="F51">
        <v>124787.64</v>
      </c>
      <c r="G51">
        <v>142130.57</v>
      </c>
      <c r="H51">
        <v>146449.03</v>
      </c>
      <c r="I51">
        <v>134113.44</v>
      </c>
      <c r="J51">
        <v>107264</v>
      </c>
      <c r="K51">
        <v>71540</v>
      </c>
    </row>
    <row r="52" spans="1:13" s="2" customFormat="1" x14ac:dyDescent="0.3">
      <c r="A52" s="6" t="s">
        <v>25</v>
      </c>
      <c r="B52">
        <v>114871.75</v>
      </c>
      <c r="C52">
        <v>135914.49</v>
      </c>
      <c r="D52">
        <v>142813.43</v>
      </c>
      <c r="E52">
        <v>139348.59</v>
      </c>
      <c r="F52">
        <v>132313.22</v>
      </c>
      <c r="G52">
        <v>144192.62</v>
      </c>
      <c r="H52">
        <v>138051.22</v>
      </c>
      <c r="I52">
        <v>155239.20000000001</v>
      </c>
      <c r="J52">
        <v>177339</v>
      </c>
      <c r="K52">
        <v>189289</v>
      </c>
      <c r="M52" s="18"/>
    </row>
    <row r="53" spans="1:13" s="1" customFormat="1" x14ac:dyDescent="0.3">
      <c r="A53" s="1" t="s">
        <v>26</v>
      </c>
      <c r="B53">
        <v>263184.12</v>
      </c>
      <c r="C53">
        <v>272580.36</v>
      </c>
      <c r="D53">
        <v>327191.81</v>
      </c>
      <c r="E53">
        <v>305703.49</v>
      </c>
      <c r="F53">
        <v>320179.39</v>
      </c>
      <c r="G53">
        <v>341569.91</v>
      </c>
      <c r="H53">
        <v>329061.49</v>
      </c>
      <c r="I53">
        <v>334674.43</v>
      </c>
      <c r="J53">
        <v>369521</v>
      </c>
      <c r="K53">
        <v>376973</v>
      </c>
      <c r="M53" s="18"/>
    </row>
    <row r="54" spans="1:13" s="2" customFormat="1" x14ac:dyDescent="0.3">
      <c r="A54" s="6" t="s">
        <v>27</v>
      </c>
      <c r="B54">
        <v>107231.76</v>
      </c>
      <c r="C54">
        <v>95944.08</v>
      </c>
      <c r="D54">
        <v>121413.86</v>
      </c>
      <c r="E54">
        <v>111234.47</v>
      </c>
      <c r="F54">
        <v>127107.14</v>
      </c>
      <c r="G54">
        <v>138707.60999999999</v>
      </c>
      <c r="H54">
        <v>138855.45000000001</v>
      </c>
      <c r="I54">
        <v>132079.76</v>
      </c>
      <c r="J54">
        <v>121285</v>
      </c>
      <c r="K54">
        <v>115697</v>
      </c>
    </row>
    <row r="55" spans="1:13" s="2" customFormat="1" x14ac:dyDescent="0.3">
      <c r="A55" s="6" t="s">
        <v>28</v>
      </c>
      <c r="B55">
        <v>25918.94</v>
      </c>
      <c r="C55">
        <v>33698.839999999997</v>
      </c>
      <c r="D55">
        <v>40033.5</v>
      </c>
      <c r="E55">
        <v>31883.84</v>
      </c>
      <c r="F55">
        <v>35622.29</v>
      </c>
      <c r="G55">
        <v>20963.93</v>
      </c>
      <c r="H55">
        <v>10251.09</v>
      </c>
      <c r="I55">
        <v>14274.5</v>
      </c>
      <c r="J55">
        <v>35698</v>
      </c>
      <c r="K55">
        <v>65806</v>
      </c>
    </row>
    <row r="56" spans="1:13" s="2" customFormat="1" x14ac:dyDescent="0.3">
      <c r="A56" s="6" t="s">
        <v>29</v>
      </c>
      <c r="B56">
        <v>23767.02</v>
      </c>
      <c r="C56">
        <v>20337.919999999998</v>
      </c>
      <c r="D56">
        <v>20812.75</v>
      </c>
      <c r="E56">
        <v>15770.72</v>
      </c>
      <c r="F56">
        <v>16308.48</v>
      </c>
      <c r="G56">
        <v>24620.28</v>
      </c>
      <c r="H56">
        <v>29379.53</v>
      </c>
      <c r="I56">
        <v>26379.16</v>
      </c>
      <c r="J56">
        <v>22971</v>
      </c>
      <c r="K56">
        <v>35656</v>
      </c>
    </row>
    <row r="57" spans="1:13" s="2" customFormat="1" x14ac:dyDescent="0.3">
      <c r="A57" s="6" t="s">
        <v>30</v>
      </c>
      <c r="B57">
        <v>106266.4</v>
      </c>
      <c r="C57">
        <v>122599.52</v>
      </c>
      <c r="D57">
        <v>144931.70000000001</v>
      </c>
      <c r="E57">
        <v>146814.46</v>
      </c>
      <c r="F57">
        <v>141141.48000000001</v>
      </c>
      <c r="G57">
        <v>157278.09</v>
      </c>
      <c r="H57">
        <v>150575.42000000001</v>
      </c>
      <c r="I57">
        <v>161941.01</v>
      </c>
      <c r="J57">
        <v>189567</v>
      </c>
      <c r="K57">
        <v>159814</v>
      </c>
    </row>
    <row r="58" spans="1:13" s="1" customFormat="1" x14ac:dyDescent="0.3">
      <c r="A58" s="1" t="s">
        <v>26</v>
      </c>
      <c r="B58">
        <v>263184.12</v>
      </c>
      <c r="C58">
        <v>272580.36</v>
      </c>
      <c r="D58">
        <v>327191.81</v>
      </c>
      <c r="E58">
        <v>305703.49</v>
      </c>
      <c r="F58">
        <v>320179.39</v>
      </c>
      <c r="G58">
        <v>341569.91</v>
      </c>
      <c r="H58">
        <v>329061.49</v>
      </c>
      <c r="I58">
        <v>334674.43</v>
      </c>
      <c r="J58">
        <v>369521</v>
      </c>
      <c r="K58">
        <v>376973</v>
      </c>
    </row>
    <row r="59" spans="1:13" s="6" customFormat="1" x14ac:dyDescent="0.3">
      <c r="A59" s="6" t="s">
        <v>31</v>
      </c>
      <c r="B59">
        <v>13570.91</v>
      </c>
      <c r="C59">
        <v>14075.55</v>
      </c>
      <c r="D59">
        <v>19893.3</v>
      </c>
      <c r="E59">
        <v>18996.169999999998</v>
      </c>
      <c r="F59">
        <v>11172.69</v>
      </c>
      <c r="G59">
        <v>12679.08</v>
      </c>
      <c r="H59">
        <v>12442.12</v>
      </c>
      <c r="I59">
        <v>15737.97</v>
      </c>
      <c r="J59">
        <v>16952</v>
      </c>
      <c r="K59">
        <v>13248</v>
      </c>
    </row>
    <row r="60" spans="1:13" s="2" customFormat="1" x14ac:dyDescent="0.3">
      <c r="A60" s="6" t="s">
        <v>32</v>
      </c>
      <c r="B60">
        <v>32655.73</v>
      </c>
      <c r="C60">
        <v>35085.31</v>
      </c>
      <c r="D60">
        <v>42137.63</v>
      </c>
      <c r="E60">
        <v>39013.730000000003</v>
      </c>
      <c r="F60">
        <v>37456.879999999997</v>
      </c>
      <c r="G60">
        <v>36088.589999999997</v>
      </c>
      <c r="H60">
        <v>35240.339999999997</v>
      </c>
      <c r="I60">
        <v>40755.39</v>
      </c>
      <c r="J60">
        <v>47788</v>
      </c>
      <c r="K60">
        <v>47269</v>
      </c>
    </row>
    <row r="61" spans="1:13" s="2" customFormat="1" x14ac:dyDescent="0.3">
      <c r="A61" s="2" t="s">
        <v>33</v>
      </c>
      <c r="B61">
        <v>30460.400000000001</v>
      </c>
      <c r="C61">
        <v>36077.879999999997</v>
      </c>
      <c r="D61">
        <v>34613.910000000003</v>
      </c>
      <c r="E61">
        <v>32648.82</v>
      </c>
      <c r="F61">
        <v>33726.97</v>
      </c>
      <c r="G61">
        <v>46792.46</v>
      </c>
      <c r="H61">
        <v>40669.19</v>
      </c>
      <c r="I61">
        <v>37015.56</v>
      </c>
      <c r="J61">
        <v>45807</v>
      </c>
      <c r="K61">
        <v>40834</v>
      </c>
    </row>
    <row r="62" spans="1:13" s="2" customFormat="1" x14ac:dyDescent="0.3">
      <c r="A62" s="2" t="s">
        <v>34</v>
      </c>
      <c r="B62">
        <v>3395930306</v>
      </c>
      <c r="C62">
        <v>3396100719</v>
      </c>
      <c r="D62">
        <v>3396100719</v>
      </c>
      <c r="E62">
        <v>3396100719</v>
      </c>
      <c r="F62">
        <v>3597726185</v>
      </c>
      <c r="G62">
        <v>3829060661</v>
      </c>
      <c r="H62">
        <v>3829414903</v>
      </c>
      <c r="I62">
        <v>3830097221</v>
      </c>
      <c r="J62">
        <v>3832491897</v>
      </c>
      <c r="K62">
        <v>3681348742</v>
      </c>
    </row>
    <row r="63" spans="1:13" s="2" customFormat="1" x14ac:dyDescent="0.3">
      <c r="A63" s="2" t="s">
        <v>35</v>
      </c>
    </row>
    <row r="64" spans="1:13" s="2" customFormat="1" x14ac:dyDescent="0.3">
      <c r="A64" s="2" t="s">
        <v>36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</row>
    <row r="65" spans="1:11" s="2" customFormat="1" x14ac:dyDescent="0.3"/>
    <row r="66" spans="1:11" s="2" customFormat="1" x14ac:dyDescent="0.3">
      <c r="A66" s="6" t="s">
        <v>50</v>
      </c>
      <c r="B66" s="2">
        <f>B53</f>
        <v>263184.12</v>
      </c>
      <c r="C66" s="2">
        <f t="shared" ref="C66:K66" si="1">C53</f>
        <v>272580.36</v>
      </c>
      <c r="D66" s="2">
        <f t="shared" si="1"/>
        <v>327191.81</v>
      </c>
      <c r="E66" s="2">
        <f t="shared" si="1"/>
        <v>305703.49</v>
      </c>
      <c r="F66" s="2">
        <f t="shared" si="1"/>
        <v>320179.39</v>
      </c>
      <c r="G66" s="2">
        <f t="shared" si="1"/>
        <v>341569.91</v>
      </c>
      <c r="H66" s="2">
        <f t="shared" si="1"/>
        <v>329061.49</v>
      </c>
      <c r="I66" s="2">
        <f t="shared" si="1"/>
        <v>334674.43</v>
      </c>
      <c r="J66" s="2">
        <f t="shared" si="1"/>
        <v>369521</v>
      </c>
      <c r="K66" s="2">
        <f t="shared" si="1"/>
        <v>376973</v>
      </c>
    </row>
    <row r="67" spans="1:11" s="2" customFormat="1" x14ac:dyDescent="0.3">
      <c r="A67" s="6"/>
    </row>
    <row r="68" spans="1:11" s="2" customFormat="1" x14ac:dyDescent="0.3">
      <c r="A68" s="6" t="s">
        <v>51</v>
      </c>
      <c r="B68" s="2">
        <f>B57-SUM(B59:B61)</f>
        <v>29579.359999999986</v>
      </c>
      <c r="C68" s="2">
        <f t="shared" ref="C68:K68" si="2">C57-SUM(C59:C61)</f>
        <v>37360.780000000013</v>
      </c>
      <c r="D68" s="2">
        <f t="shared" si="2"/>
        <v>48286.860000000015</v>
      </c>
      <c r="E68" s="2">
        <f t="shared" si="2"/>
        <v>56155.739999999991</v>
      </c>
      <c r="F68" s="2">
        <f t="shared" si="2"/>
        <v>58784.94</v>
      </c>
      <c r="G68" s="2">
        <f t="shared" si="2"/>
        <v>61717.959999999992</v>
      </c>
      <c r="H68" s="2">
        <f t="shared" si="2"/>
        <v>62223.770000000019</v>
      </c>
      <c r="I68" s="2">
        <f t="shared" si="2"/>
        <v>68432.090000000011</v>
      </c>
      <c r="J68" s="2">
        <f t="shared" si="2"/>
        <v>79020</v>
      </c>
      <c r="K68" s="2">
        <f t="shared" si="2"/>
        <v>58463</v>
      </c>
    </row>
    <row r="69" spans="1:11" s="2" customFormat="1" x14ac:dyDescent="0.3">
      <c r="A69" s="6"/>
    </row>
    <row r="70" spans="1:11" s="2" customFormat="1" x14ac:dyDescent="0.3">
      <c r="A70" s="6"/>
    </row>
    <row r="71" spans="1:11" s="2" customFormat="1" x14ac:dyDescent="0.3">
      <c r="A71" s="6"/>
    </row>
    <row r="72" spans="1:11" s="2" customFormat="1" x14ac:dyDescent="0.3">
      <c r="A72" s="1" t="s">
        <v>37</v>
      </c>
    </row>
    <row r="73" spans="1:11" s="5" customFormat="1" x14ac:dyDescent="0.3">
      <c r="A73" s="3" t="s">
        <v>1</v>
      </c>
      <c r="B73" s="4">
        <v>42460</v>
      </c>
      <c r="C73" s="4">
        <v>42825</v>
      </c>
      <c r="D73" s="4">
        <v>43190</v>
      </c>
      <c r="E73" s="4">
        <v>43555</v>
      </c>
      <c r="F73" s="4">
        <v>43921</v>
      </c>
      <c r="G73" s="4">
        <v>44286</v>
      </c>
      <c r="H73" s="4">
        <v>44651</v>
      </c>
      <c r="I73" s="4">
        <v>45016</v>
      </c>
      <c r="J73" s="4">
        <v>45382</v>
      </c>
      <c r="K73" s="4">
        <v>45747</v>
      </c>
    </row>
    <row r="74" spans="1:11" s="1" customFormat="1" x14ac:dyDescent="0.3">
      <c r="A74" s="6" t="s">
        <v>38</v>
      </c>
      <c r="B74">
        <v>37899.54</v>
      </c>
      <c r="C74">
        <v>30199.25</v>
      </c>
      <c r="D74">
        <v>23857.42</v>
      </c>
      <c r="E74">
        <v>18890.75</v>
      </c>
      <c r="F74">
        <v>26632.94</v>
      </c>
      <c r="G74">
        <v>29000.51</v>
      </c>
      <c r="H74">
        <v>14282.83</v>
      </c>
      <c r="I74">
        <v>35388.01</v>
      </c>
      <c r="J74">
        <v>67915</v>
      </c>
      <c r="K74">
        <v>63102</v>
      </c>
    </row>
    <row r="75" spans="1:11" s="6" customFormat="1" x14ac:dyDescent="0.3">
      <c r="A75" s="6" t="s">
        <v>39</v>
      </c>
      <c r="B75">
        <v>-36693.9</v>
      </c>
      <c r="C75">
        <v>-39571.4</v>
      </c>
      <c r="D75">
        <v>-25139.14</v>
      </c>
      <c r="E75">
        <v>-20878.07</v>
      </c>
      <c r="F75">
        <v>-33114.550000000003</v>
      </c>
      <c r="G75">
        <v>-25672.5</v>
      </c>
      <c r="H75">
        <v>-4443.66</v>
      </c>
      <c r="I75">
        <v>-15417.17</v>
      </c>
      <c r="J75">
        <v>-22781</v>
      </c>
      <c r="K75">
        <v>-49982</v>
      </c>
    </row>
    <row r="76" spans="1:11" s="6" customFormat="1" x14ac:dyDescent="0.3">
      <c r="A76" s="6" t="s">
        <v>40</v>
      </c>
      <c r="B76">
        <v>-3795.12</v>
      </c>
      <c r="C76">
        <v>6205.3</v>
      </c>
      <c r="D76">
        <v>2011.71</v>
      </c>
      <c r="E76">
        <v>8830.3700000000008</v>
      </c>
      <c r="F76">
        <v>3389.61</v>
      </c>
      <c r="G76">
        <v>9904.2000000000007</v>
      </c>
      <c r="H76">
        <v>-3380.17</v>
      </c>
      <c r="I76">
        <v>-26242.9</v>
      </c>
      <c r="J76">
        <v>-37006</v>
      </c>
      <c r="K76">
        <v>-18786</v>
      </c>
    </row>
    <row r="77" spans="1:11" s="1" customFormat="1" x14ac:dyDescent="0.3">
      <c r="A77" s="6" t="s">
        <v>41</v>
      </c>
      <c r="B77">
        <v>-2589.48</v>
      </c>
      <c r="C77">
        <v>-3166.85</v>
      </c>
      <c r="D77">
        <v>729.99</v>
      </c>
      <c r="E77">
        <v>6843.05</v>
      </c>
      <c r="F77">
        <v>-3092</v>
      </c>
      <c r="G77">
        <v>13232.21</v>
      </c>
      <c r="H77">
        <v>6459</v>
      </c>
      <c r="I77">
        <v>-6272.06</v>
      </c>
      <c r="J77">
        <v>8128</v>
      </c>
      <c r="K77">
        <v>-5666</v>
      </c>
    </row>
    <row r="78" spans="1:11" s="2" customFormat="1" x14ac:dyDescent="0.3">
      <c r="A78" s="6"/>
    </row>
    <row r="79" spans="1:11" s="2" customFormat="1" x14ac:dyDescent="0.3">
      <c r="A79" s="6"/>
    </row>
    <row r="80" spans="1:11" s="2" customFormat="1" x14ac:dyDescent="0.3">
      <c r="A80" s="6"/>
    </row>
    <row r="81" spans="1:11" s="2" customFormat="1" x14ac:dyDescent="0.3">
      <c r="A81" s="6"/>
    </row>
    <row r="82" spans="1:11" s="1" customFormat="1" x14ac:dyDescent="0.3">
      <c r="A82" s="1" t="s">
        <v>42</v>
      </c>
      <c r="B82">
        <v>386.6</v>
      </c>
      <c r="C82">
        <v>465.85</v>
      </c>
      <c r="D82">
        <v>326.85000000000002</v>
      </c>
      <c r="E82">
        <v>174.25</v>
      </c>
      <c r="F82">
        <v>71.05</v>
      </c>
      <c r="G82">
        <v>301.8</v>
      </c>
      <c r="H82">
        <v>433.75</v>
      </c>
      <c r="I82">
        <v>420.8</v>
      </c>
      <c r="J82">
        <v>992.8</v>
      </c>
      <c r="K82">
        <v>674.45</v>
      </c>
    </row>
    <row r="83" spans="1:11" s="2" customFormat="1" x14ac:dyDescent="0.3"/>
    <row r="84" spans="1:11" s="1" customFormat="1" x14ac:dyDescent="0.3">
      <c r="A84" s="1" t="s">
        <v>43</v>
      </c>
    </row>
    <row r="85" spans="1:11" s="2" customFormat="1" x14ac:dyDescent="0.3">
      <c r="A85" s="2" t="s">
        <v>44</v>
      </c>
      <c r="B85" s="7">
        <v>288.72000000000003</v>
      </c>
      <c r="C85" s="7">
        <v>288.73</v>
      </c>
      <c r="D85" s="7">
        <v>288.73</v>
      </c>
      <c r="E85" s="7">
        <v>288.73</v>
      </c>
      <c r="F85" s="7">
        <v>308.89999999999998</v>
      </c>
      <c r="G85" s="7">
        <v>332.03</v>
      </c>
      <c r="H85" s="7">
        <v>332.07</v>
      </c>
      <c r="I85" s="7">
        <v>332.13</v>
      </c>
      <c r="J85" s="7">
        <v>332.37</v>
      </c>
      <c r="K85" s="7">
        <v>368.13</v>
      </c>
    </row>
    <row r="86" spans="1:11" s="2" customForma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C4CC3-8FE7-4313-AFCB-3E94E0DEC002}">
  <dimension ref="B4:M48"/>
  <sheetViews>
    <sheetView showGridLines="0" zoomScale="113" workbookViewId="0">
      <selection activeCell="O30" sqref="O30"/>
    </sheetView>
  </sheetViews>
  <sheetFormatPr defaultRowHeight="14.4" x14ac:dyDescent="0.3"/>
  <cols>
    <col min="1" max="1" width="1.88671875" customWidth="1"/>
    <col min="2" max="2" width="22.6640625" bestFit="1" customWidth="1"/>
    <col min="3" max="3" width="12.6640625" customWidth="1"/>
    <col min="4" max="4" width="9.33203125" customWidth="1"/>
    <col min="5" max="5" width="9.77734375" customWidth="1"/>
    <col min="6" max="6" width="9.88671875" customWidth="1"/>
    <col min="7" max="7" width="10.33203125" customWidth="1"/>
    <col min="8" max="9" width="10.109375" customWidth="1"/>
    <col min="10" max="11" width="9.6640625" customWidth="1"/>
    <col min="12" max="12" width="9.5546875" customWidth="1"/>
  </cols>
  <sheetData>
    <row r="4" spans="2:12" x14ac:dyDescent="0.3">
      <c r="B4" s="16" t="s">
        <v>46</v>
      </c>
      <c r="C4" s="16"/>
      <c r="D4" s="16"/>
      <c r="E4" s="16"/>
      <c r="F4" s="16"/>
      <c r="G4" s="16"/>
      <c r="H4" s="16"/>
      <c r="I4" s="16"/>
      <c r="J4" s="16"/>
      <c r="K4" s="16"/>
      <c r="L4" s="16"/>
    </row>
    <row r="6" spans="2:12" x14ac:dyDescent="0.3">
      <c r="B6" s="8" t="s">
        <v>45</v>
      </c>
      <c r="C6" s="9">
        <f>'DATA SHEET'!B8</f>
        <v>42460</v>
      </c>
      <c r="D6" s="9">
        <f>'DATA SHEET'!C8</f>
        <v>42825</v>
      </c>
      <c r="E6" s="9">
        <f>'DATA SHEET'!D8</f>
        <v>43190</v>
      </c>
      <c r="F6" s="9">
        <f>'DATA SHEET'!E8</f>
        <v>43555</v>
      </c>
      <c r="G6" s="9">
        <f>'DATA SHEET'!F8</f>
        <v>43921</v>
      </c>
      <c r="H6" s="9">
        <f>'DATA SHEET'!G8</f>
        <v>44286</v>
      </c>
      <c r="I6" s="9">
        <f>'DATA SHEET'!H8</f>
        <v>44651</v>
      </c>
      <c r="J6" s="9">
        <f>'DATA SHEET'!I8</f>
        <v>45016</v>
      </c>
      <c r="K6" s="9">
        <f>'DATA SHEET'!J8</f>
        <v>45382</v>
      </c>
      <c r="L6" s="9">
        <f>'DATA SHEET'!K8</f>
        <v>45747</v>
      </c>
    </row>
    <row r="8" spans="2:12" x14ac:dyDescent="0.3">
      <c r="B8" s="11" t="str">
        <f>'DATA SHEET'!A9</f>
        <v>Sales</v>
      </c>
      <c r="C8" s="12">
        <f>'DATA SHEET'!B9/'DATA SHEET'!B$9</f>
        <v>1</v>
      </c>
      <c r="D8" s="12">
        <f>'DATA SHEET'!C9/'DATA SHEET'!C$9</f>
        <v>1</v>
      </c>
      <c r="E8" s="12">
        <f>'DATA SHEET'!D9/'DATA SHEET'!D$9</f>
        <v>1</v>
      </c>
      <c r="F8" s="12">
        <f>'DATA SHEET'!E9/'DATA SHEET'!E$9</f>
        <v>1</v>
      </c>
      <c r="G8" s="12">
        <f>'DATA SHEET'!F9/'DATA SHEET'!F$9</f>
        <v>1</v>
      </c>
      <c r="H8" s="12">
        <f>'DATA SHEET'!G9/'DATA SHEET'!G$9</f>
        <v>1</v>
      </c>
      <c r="I8" s="12">
        <f>'DATA SHEET'!H9/'DATA SHEET'!H$9</f>
        <v>1</v>
      </c>
      <c r="J8" s="12">
        <f>'DATA SHEET'!I9/'DATA SHEET'!I$9</f>
        <v>1</v>
      </c>
      <c r="K8" s="12">
        <f>'DATA SHEET'!J9/'DATA SHEET'!J$9</f>
        <v>1</v>
      </c>
      <c r="L8" s="12">
        <f>'DATA SHEET'!K9/'DATA SHEET'!K$9</f>
        <v>1</v>
      </c>
    </row>
    <row r="9" spans="2:12" x14ac:dyDescent="0.3">
      <c r="B9" s="11" t="str">
        <f>'DATA SHEET'!A10</f>
        <v>Raw Material Cost</v>
      </c>
      <c r="C9" s="12">
        <f>'DATA SHEET'!B10/'DATA SHEET'!B$9</f>
        <v>0.60844785632875986</v>
      </c>
      <c r="D9" s="12">
        <f>'DATA SHEET'!C10/'DATA SHEET'!C$9</f>
        <v>0.64256170851760019</v>
      </c>
      <c r="E9" s="12">
        <f>'DATA SHEET'!D10/'DATA SHEET'!D$9</f>
        <v>0.6444735745247272</v>
      </c>
      <c r="F9" s="12">
        <f>'DATA SHEET'!E10/'DATA SHEET'!E$9</f>
        <v>0.64340246222408271</v>
      </c>
      <c r="G9" s="12">
        <f>'DATA SHEET'!F10/'DATA SHEET'!F$9</f>
        <v>0.63163558516963991</v>
      </c>
      <c r="H9" s="12">
        <f>'DATA SHEET'!G10/'DATA SHEET'!G$9</f>
        <v>0.6149343010611712</v>
      </c>
      <c r="I9" s="12">
        <f>'DATA SHEET'!H10/'DATA SHEET'!H$9</f>
        <v>0.64389656704768283</v>
      </c>
      <c r="J9" s="12">
        <f>'DATA SHEET'!I10/'DATA SHEET'!I$9</f>
        <v>0.66842005177546293</v>
      </c>
      <c r="K9" s="12">
        <f>'DATA SHEET'!J10/'DATA SHEET'!J$9</f>
        <v>0.63205273538302731</v>
      </c>
      <c r="L9" s="12">
        <f>'DATA SHEET'!K10/'DATA SHEET'!K$9</f>
        <v>0.61167400129635319</v>
      </c>
    </row>
    <row r="10" spans="2:12" x14ac:dyDescent="0.3">
      <c r="B10" s="11" t="str">
        <f>'DATA SHEET'!A11</f>
        <v>Change in Inventory</v>
      </c>
      <c r="C10" s="12">
        <f>'DATA SHEET'!B11/'DATA SHEET'!B$9</f>
        <v>1.0075203555743071E-2</v>
      </c>
      <c r="D10" s="12">
        <f>'DATA SHEET'!C11/'DATA SHEET'!C$9</f>
        <v>2.7438359337454348E-2</v>
      </c>
      <c r="E10" s="12">
        <f>'DATA SHEET'!D11/'DATA SHEET'!D$9</f>
        <v>7.0196420187680708E-3</v>
      </c>
      <c r="F10" s="12">
        <f>'DATA SHEET'!E11/'DATA SHEET'!E$9</f>
        <v>-6.8003274840166073E-3</v>
      </c>
      <c r="G10" s="12">
        <f>'DATA SHEET'!F11/'DATA SHEET'!F$9</f>
        <v>-8.5463950250197294E-3</v>
      </c>
      <c r="H10" s="12">
        <f>'DATA SHEET'!G11/'DATA SHEET'!G$9</f>
        <v>-1.8752035421080705E-2</v>
      </c>
      <c r="I10" s="12">
        <f>'DATA SHEET'!H11/'DATA SHEET'!H$9</f>
        <v>-5.7118668451859233E-3</v>
      </c>
      <c r="J10" s="12">
        <f>'DATA SHEET'!I11/'DATA SHEET'!I$9</f>
        <v>1.3821030371772196E-2</v>
      </c>
      <c r="K10" s="12">
        <f>'DATA SHEET'!J11/'DATA SHEET'!J$9</f>
        <v>3.6081619110816189E-3</v>
      </c>
      <c r="L10" s="12">
        <f>'DATA SHEET'!K11/'DATA SHEET'!K$9</f>
        <v>-6.4499255165512458E-3</v>
      </c>
    </row>
    <row r="11" spans="2:12" x14ac:dyDescent="0.3">
      <c r="B11" s="11" t="str">
        <f>'DATA SHEET'!A12</f>
        <v>Power and Fuel</v>
      </c>
      <c r="C11" s="12">
        <f>'DATA SHEET'!B12/'DATA SHEET'!B$9</f>
        <v>4.1884212746881849E-3</v>
      </c>
      <c r="D11" s="12">
        <f>'DATA SHEET'!C12/'DATA SHEET'!C$9</f>
        <v>4.3005272931013168E-3</v>
      </c>
      <c r="E11" s="12">
        <f>'DATA SHEET'!D12/'DATA SHEET'!D$9</f>
        <v>4.4866329837632236E-3</v>
      </c>
      <c r="F11" s="12">
        <f>'DATA SHEET'!E12/'DATA SHEET'!E$9</f>
        <v>5.252495210943689E-3</v>
      </c>
      <c r="G11" s="12">
        <f>'DATA SHEET'!F12/'DATA SHEET'!F$9</f>
        <v>4.8452899066859867E-3</v>
      </c>
      <c r="H11" s="12">
        <f>'DATA SHEET'!G12/'DATA SHEET'!G$9</f>
        <v>4.4551376680254488E-3</v>
      </c>
      <c r="I11" s="12">
        <f>'DATA SHEET'!H12/'DATA SHEET'!H$9</f>
        <v>7.8228108508698862E-3</v>
      </c>
      <c r="J11" s="12">
        <f>'DATA SHEET'!I12/'DATA SHEET'!I$9</f>
        <v>7.2646530389880865E-3</v>
      </c>
      <c r="K11" s="12">
        <f>'DATA SHEET'!J12/'DATA SHEET'!J$9</f>
        <v>5.0435928629359288E-3</v>
      </c>
      <c r="L11" s="12">
        <f>'DATA SHEET'!K12/'DATA SHEET'!K$9</f>
        <v>5.5561241315002447E-3</v>
      </c>
    </row>
    <row r="12" spans="2:12" x14ac:dyDescent="0.3">
      <c r="B12" s="11" t="str">
        <f>'DATA SHEET'!A13</f>
        <v>Other Mfr. Exp</v>
      </c>
      <c r="C12" s="12">
        <f>'DATA SHEET'!B13/'DATA SHEET'!B$9</f>
        <v>4.4320545725695638E-2</v>
      </c>
      <c r="D12" s="12">
        <f>'DATA SHEET'!C13/'DATA SHEET'!C$9</f>
        <v>3.7329067833585743E-2</v>
      </c>
      <c r="E12" s="12">
        <f>'DATA SHEET'!D13/'DATA SHEET'!D$9</f>
        <v>3.7632110912662539E-2</v>
      </c>
      <c r="F12" s="12">
        <f>'DATA SHEET'!E13/'DATA SHEET'!E$9</f>
        <v>3.8731542592793759E-2</v>
      </c>
      <c r="G12" s="12">
        <f>'DATA SHEET'!F13/'DATA SHEET'!F$9</f>
        <v>4.4208831899217663E-2</v>
      </c>
      <c r="H12" s="12">
        <f>'DATA SHEET'!G13/'DATA SHEET'!G$9</f>
        <v>3.3119871414431248E-2</v>
      </c>
      <c r="I12" s="12">
        <f>'DATA SHEET'!H13/'DATA SHEET'!H$9</f>
        <v>3.3856194794666339E-2</v>
      </c>
      <c r="J12" s="12">
        <f>'DATA SHEET'!I13/'DATA SHEET'!I$9</f>
        <v>3.4008940217616732E-2</v>
      </c>
      <c r="K12" s="12">
        <f>'DATA SHEET'!J13/'DATA SHEET'!J$9</f>
        <v>4.019667477696675E-2</v>
      </c>
      <c r="L12" s="12">
        <f>'DATA SHEET'!K13/'DATA SHEET'!K$9</f>
        <v>4.2786476989731516E-2</v>
      </c>
    </row>
    <row r="13" spans="2:12" x14ac:dyDescent="0.3">
      <c r="B13" s="11" t="str">
        <f>'DATA SHEET'!A14</f>
        <v>Employee Cost</v>
      </c>
      <c r="C13" s="12">
        <f>'DATA SHEET'!B14/'DATA SHEET'!B$9</f>
        <v>0.10577313825968997</v>
      </c>
      <c r="D13" s="12">
        <f>'DATA SHEET'!C14/'DATA SHEET'!C$9</f>
        <v>0.10505627316086753</v>
      </c>
      <c r="E13" s="12">
        <f>'DATA SHEET'!D14/'DATA SHEET'!D$9</f>
        <v>0.10392742279141506</v>
      </c>
      <c r="F13" s="12">
        <f>'DATA SHEET'!E14/'DATA SHEET'!E$9</f>
        <v>0.11010149752399827</v>
      </c>
      <c r="G13" s="12">
        <f>'DATA SHEET'!F14/'DATA SHEET'!F$9</f>
        <v>0.11659262528451882</v>
      </c>
      <c r="H13" s="12">
        <f>'DATA SHEET'!G14/'DATA SHEET'!G$9</f>
        <v>0.11068479221440802</v>
      </c>
      <c r="I13" s="12">
        <f>'DATA SHEET'!H14/'DATA SHEET'!H$9</f>
        <v>0.11064147774412127</v>
      </c>
      <c r="J13" s="12">
        <f>'DATA SHEET'!I14/'DATA SHEET'!I$9</f>
        <v>9.7277205393335675E-2</v>
      </c>
      <c r="K13" s="12">
        <f>'DATA SHEET'!J14/'DATA SHEET'!J$9</f>
        <v>9.674758534247585E-2</v>
      </c>
      <c r="L13" s="12">
        <f>'DATA SHEET'!K14/'DATA SHEET'!K$9</f>
        <v>0.10863666859982488</v>
      </c>
    </row>
    <row r="14" spans="2:12" x14ac:dyDescent="0.3">
      <c r="B14" s="11" t="str">
        <f>'DATA SHEET'!A15</f>
        <v>Selling and admin</v>
      </c>
      <c r="C14" s="12">
        <f>'DATA SHEET'!B15/'DATA SHEET'!B$9</f>
        <v>8.0542956927341092E-2</v>
      </c>
      <c r="D14" s="12">
        <f>'DATA SHEET'!C15/'DATA SHEET'!C$9</f>
        <v>0.1113838126242364</v>
      </c>
      <c r="E14" s="12">
        <f>'DATA SHEET'!D15/'DATA SHEET'!D$9</f>
        <v>0.10634377964323709</v>
      </c>
      <c r="F14" s="12">
        <f>'DATA SHEET'!E15/'DATA SHEET'!E$9</f>
        <v>0.1083658123643763</v>
      </c>
      <c r="G14" s="12">
        <f>'DATA SHEET'!F15/'DATA SHEET'!F$9</f>
        <v>0.11203335284677013</v>
      </c>
      <c r="H14" s="12">
        <f>'DATA SHEET'!G15/'DATA SHEET'!G$9</f>
        <v>9.2138805959692913E-2</v>
      </c>
      <c r="I14" s="12">
        <f>'DATA SHEET'!H15/'DATA SHEET'!H$9</f>
        <v>0.10488425325553319</v>
      </c>
      <c r="J14" s="12">
        <f>'DATA SHEET'!I15/'DATA SHEET'!I$9</f>
        <v>0.10070091373173573</v>
      </c>
      <c r="K14" s="12">
        <f>'DATA SHEET'!J15/'DATA SHEET'!J$9</f>
        <v>9.853323379783234E-2</v>
      </c>
      <c r="L14" s="12">
        <f>'DATA SHEET'!K15/'DATA SHEET'!K$9</f>
        <v>0.10711743367561605</v>
      </c>
    </row>
    <row r="15" spans="2:12" x14ac:dyDescent="0.3">
      <c r="B15" s="11" t="str">
        <f>'DATA SHEET'!A16</f>
        <v>Other Expenses</v>
      </c>
      <c r="C15" s="12">
        <f>'DATA SHEET'!B16/'DATA SHEET'!B$9</f>
        <v>2.6183831565130516E-2</v>
      </c>
      <c r="D15" s="12">
        <f>'DATA SHEET'!C16/'DATA SHEET'!C$9</f>
        <v>1.7094282670289951E-2</v>
      </c>
      <c r="E15" s="12">
        <f>'DATA SHEET'!D16/'DATA SHEET'!D$9</f>
        <v>2.2582367211331639E-3</v>
      </c>
      <c r="F15" s="12">
        <f>'DATA SHEET'!E16/'DATA SHEET'!E$9</f>
        <v>5.6592338039812094E-3</v>
      </c>
      <c r="G15" s="12">
        <f>'DATA SHEET'!F16/'DATA SHEET'!F$9</f>
        <v>1.3239885383105405E-2</v>
      </c>
      <c r="H15" s="12">
        <f>'DATA SHEET'!G16/'DATA SHEET'!G$9</f>
        <v>-3.3407827826645677E-3</v>
      </c>
      <c r="I15" s="12">
        <f>'DATA SHEET'!H16/'DATA SHEET'!H$9</f>
        <v>4.4105011096641517E-3</v>
      </c>
      <c r="J15" s="12">
        <f>'DATA SHEET'!I16/'DATA SHEET'!I$9</f>
        <v>1.4187308112100993E-2</v>
      </c>
      <c r="K15" s="12">
        <f>'DATA SHEET'!J16/'DATA SHEET'!J$9</f>
        <v>-2.1957715844577157E-3</v>
      </c>
      <c r="L15" s="12">
        <f>'DATA SHEET'!K16/'DATA SHEET'!K$9</f>
        <v>-7.7985876573533923E-3</v>
      </c>
    </row>
    <row r="16" spans="2:12" x14ac:dyDescent="0.3">
      <c r="B16" s="11" t="str">
        <f>'DATA SHEET'!A17</f>
        <v>Other Income</v>
      </c>
      <c r="C16" s="12">
        <f>'DATA SHEET'!B17/'DATA SHEET'!B$9</f>
        <v>-9.7771947249836663E-3</v>
      </c>
      <c r="D16" s="12">
        <f>'DATA SHEET'!C17/'DATA SHEET'!C$9</f>
        <v>6.9304853887117582E-3</v>
      </c>
      <c r="E16" s="12">
        <f>'DATA SHEET'!D17/'DATA SHEET'!D$9</f>
        <v>2.034889464081829E-2</v>
      </c>
      <c r="F16" s="12">
        <f>'DATA SHEET'!E17/'DATA SHEET'!E$9</f>
        <v>-8.8383094035074702E-2</v>
      </c>
      <c r="G16" s="12">
        <f>'DATA SHEET'!F17/'DATA SHEET'!F$9</f>
        <v>3.8959202846676288E-4</v>
      </c>
      <c r="H16" s="12">
        <f>'DATA SHEET'!G17/'DATA SHEET'!G$9</f>
        <v>-4.4507860953843105E-2</v>
      </c>
      <c r="I16" s="12">
        <f>'DATA SHEET'!H17/'DATA SHEET'!H$9</f>
        <v>8.7053994844814731E-3</v>
      </c>
      <c r="J16" s="12">
        <f>'DATA SHEET'!I17/'DATA SHEET'!I$9</f>
        <v>1.9261867686386363E-2</v>
      </c>
      <c r="K16" s="12">
        <f>'DATA SHEET'!J17/'DATA SHEET'!J$9</f>
        <v>1.1041067610410677E-2</v>
      </c>
      <c r="L16" s="12">
        <f>'DATA SHEET'!K17/'DATA SHEET'!K$9</f>
        <v>2.6777652691069947E-2</v>
      </c>
    </row>
    <row r="17" spans="2:12" x14ac:dyDescent="0.3">
      <c r="B17" s="11" t="str">
        <f>'DATA SHEET'!A18</f>
        <v>Depreciation</v>
      </c>
      <c r="C17" s="12">
        <f>'DATA SHEET'!B18/'DATA SHEET'!B$9</f>
        <v>6.1201425695927715E-2</v>
      </c>
      <c r="D17" s="12">
        <f>'DATA SHEET'!C18/'DATA SHEET'!C$9</f>
        <v>6.63903865924938E-2</v>
      </c>
      <c r="E17" s="12">
        <f>'DATA SHEET'!D18/'DATA SHEET'!D$9</f>
        <v>7.3927472182518786E-2</v>
      </c>
      <c r="F17" s="12">
        <f>'DATA SHEET'!E18/'DATA SHEET'!E$9</f>
        <v>7.8130605447998658E-2</v>
      </c>
      <c r="G17" s="12">
        <f>'DATA SHEET'!F18/'DATA SHEET'!F$9</f>
        <v>8.206839774331566E-2</v>
      </c>
      <c r="H17" s="12">
        <f>'DATA SHEET'!G18/'DATA SHEET'!G$9</f>
        <v>9.4264230933596482E-2</v>
      </c>
      <c r="I17" s="12">
        <f>'DATA SHEET'!H18/'DATA SHEET'!H$9</f>
        <v>8.9191478279219347E-2</v>
      </c>
      <c r="J17" s="12">
        <f>'DATA SHEET'!I18/'DATA SHEET'!I$9</f>
        <v>7.1857611147098821E-2</v>
      </c>
      <c r="K17" s="12">
        <f>'DATA SHEET'!J18/'DATA SHEET'!J$9</f>
        <v>6.2760359065103591E-2</v>
      </c>
      <c r="L17" s="12">
        <f>'DATA SHEET'!K18/'DATA SHEET'!K$9</f>
        <v>5.2891208678743216E-2</v>
      </c>
    </row>
    <row r="18" spans="2:12" x14ac:dyDescent="0.3">
      <c r="B18" s="11" t="str">
        <f>'DATA SHEET'!A19</f>
        <v>Interest</v>
      </c>
      <c r="C18" s="12">
        <f>'DATA SHEET'!B19/'DATA SHEET'!B$9</f>
        <v>1.7905727101993223E-2</v>
      </c>
      <c r="D18" s="12">
        <f>'DATA SHEET'!C19/'DATA SHEET'!C$9</f>
        <v>1.5714229512714312E-2</v>
      </c>
      <c r="E18" s="12">
        <f>'DATA SHEET'!D19/'DATA SHEET'!D$9</f>
        <v>1.605824830060304E-2</v>
      </c>
      <c r="F18" s="12">
        <f>'DATA SHEET'!E19/'DATA SHEET'!E$9</f>
        <v>1.9072102124141878E-2</v>
      </c>
      <c r="G18" s="12">
        <f>'DATA SHEET'!F19/'DATA SHEET'!F$9</f>
        <v>2.7744996829752802E-2</v>
      </c>
      <c r="H18" s="12">
        <f>'DATA SHEET'!G19/'DATA SHEET'!G$9</f>
        <v>3.2415292955516477E-2</v>
      </c>
      <c r="I18" s="12">
        <f>'DATA SHEET'!H19/'DATA SHEET'!H$9</f>
        <v>3.3441332168710897E-2</v>
      </c>
      <c r="J18" s="12">
        <f>'DATA SHEET'!I19/'DATA SHEET'!I$9</f>
        <v>2.9556231914277829E-2</v>
      </c>
      <c r="K18" s="12">
        <f>'DATA SHEET'!J19/'DATA SHEET'!J$9</f>
        <v>1.7497050799970507E-2</v>
      </c>
      <c r="L18" s="12">
        <f>'DATA SHEET'!K19/'DATA SHEET'!K$9</f>
        <v>1.1560286107415368E-2</v>
      </c>
    </row>
    <row r="19" spans="2:12" x14ac:dyDescent="0.3">
      <c r="B19" s="11" t="str">
        <f>'DATA SHEET'!A20</f>
        <v>Profit before tax</v>
      </c>
      <c r="C19" s="12">
        <f>'DATA SHEET'!B20/'DATA SHEET'!B$9</f>
        <v>5.1734105951533375E-2</v>
      </c>
      <c r="D19" s="12">
        <f>'DATA SHEET'!C20/'DATA SHEET'!C$9</f>
        <v>3.453855652127677E-2</v>
      </c>
      <c r="E19" s="12">
        <f>'DATA SHEET'!D20/'DATA SHEET'!D$9</f>
        <v>3.8261058599526235E-2</v>
      </c>
      <c r="F19" s="12">
        <f>'DATA SHEET'!E20/'DATA SHEET'!E$9</f>
        <v>-0.10389917281140788</v>
      </c>
      <c r="G19" s="12">
        <f>'DATA SHEET'!F20/'DATA SHEET'!F$9</f>
        <v>-4.0525768059559354E-2</v>
      </c>
      <c r="H19" s="12">
        <f>'DATA SHEET'!G20/'DATA SHEET'!G$9</f>
        <v>-4.1931545799101064E-2</v>
      </c>
      <c r="I19" s="12">
        <f>'DATA SHEET'!H20/'DATA SHEET'!H$9</f>
        <v>-2.5151082611172375E-2</v>
      </c>
      <c r="J19" s="12">
        <f>'DATA SHEET'!I20/'DATA SHEET'!I$9</f>
        <v>9.809982727541881E-3</v>
      </c>
      <c r="K19" s="12">
        <f>'DATA SHEET'!J20/'DATA SHEET'!J$9</f>
        <v>6.4013769077637686E-2</v>
      </c>
      <c r="L19" s="12">
        <f>'DATA SHEET'!K20/'DATA SHEET'!K$9</f>
        <v>8.7904115352687662E-2</v>
      </c>
    </row>
    <row r="20" spans="2:12" x14ac:dyDescent="0.3">
      <c r="B20" s="11" t="str">
        <f>'DATA SHEET'!A21</f>
        <v>Tax</v>
      </c>
      <c r="C20" s="12">
        <f>'DATA SHEET'!B21/'DATA SHEET'!B$9</f>
        <v>1.1078918686109574E-2</v>
      </c>
      <c r="D20" s="12">
        <f>'DATA SHEET'!C21/'DATA SHEET'!C$9</f>
        <v>1.2055321818169885E-2</v>
      </c>
      <c r="E20" s="12">
        <f>'DATA SHEET'!D21/'DATA SHEET'!D$9</f>
        <v>1.4892549653836963E-2</v>
      </c>
      <c r="F20" s="12">
        <f>'DATA SHEET'!E21/'DATA SHEET'!E$9</f>
        <v>-8.0726731015332912E-3</v>
      </c>
      <c r="G20" s="12">
        <f>'DATA SHEET'!F21/'DATA SHEET'!F$9</f>
        <v>1.5139735448971392E-3</v>
      </c>
      <c r="H20" s="12">
        <f>'DATA SHEET'!G21/'DATA SHEET'!G$9</f>
        <v>1.0175794327142584E-2</v>
      </c>
      <c r="I20" s="12">
        <f>'DATA SHEET'!H21/'DATA SHEET'!H$9</f>
        <v>1.5195672442685429E-2</v>
      </c>
      <c r="J20" s="12">
        <f>'DATA SHEET'!I21/'DATA SHEET'!I$9</f>
        <v>2.0350497621203548E-3</v>
      </c>
      <c r="K20" s="12">
        <f>'DATA SHEET'!J21/'DATA SHEET'!J$9</f>
        <v>-9.2715475927154754E-3</v>
      </c>
      <c r="L20" s="12">
        <f>'DATA SHEET'!K21/'DATA SHEET'!K$9</f>
        <v>2.3884738284492661E-2</v>
      </c>
    </row>
    <row r="21" spans="2:12" x14ac:dyDescent="0.3">
      <c r="B21" s="11" t="str">
        <f>'DATA SHEET'!A22</f>
        <v>Net profit</v>
      </c>
      <c r="C21" s="12">
        <f>'DATA SHEET'!B22/'DATA SHEET'!B$9</f>
        <v>4.2407971415763523E-2</v>
      </c>
      <c r="D21" s="12">
        <f>'DATA SHEET'!C22/'DATA SHEET'!C$9</f>
        <v>2.764021885516954E-2</v>
      </c>
      <c r="E21" s="12">
        <f>'DATA SHEET'!D22/'DATA SHEET'!D$9</f>
        <v>3.0831401821049997E-2</v>
      </c>
      <c r="F21" s="12">
        <f>'DATA SHEET'!E22/'DATA SHEET'!E$9</f>
        <v>-9.5470566181711222E-2</v>
      </c>
      <c r="G21" s="12">
        <f>'DATA SHEET'!F22/'DATA SHEET'!F$9</f>
        <v>-4.6236426475450051E-2</v>
      </c>
      <c r="H21" s="12">
        <f>'DATA SHEET'!G22/'DATA SHEET'!G$9</f>
        <v>-5.3849770661713266E-2</v>
      </c>
      <c r="I21" s="12">
        <f>'DATA SHEET'!H22/'DATA SHEET'!H$9</f>
        <v>-4.1089320368684734E-2</v>
      </c>
      <c r="J21" s="12">
        <f>'DATA SHEET'!I22/'DATA SHEET'!I$9</f>
        <v>6.9783829363826268E-3</v>
      </c>
      <c r="K21" s="12">
        <f>'DATA SHEET'!J22/'DATA SHEET'!J$9</f>
        <v>7.2345259160952594E-2</v>
      </c>
      <c r="L21" s="12">
        <f>'DATA SHEET'!K22/'DATA SHEET'!K$9</f>
        <v>6.3293874162771921E-2</v>
      </c>
    </row>
    <row r="22" spans="2:12" x14ac:dyDescent="0.3">
      <c r="B22" s="11" t="str">
        <f>'DATA SHEET'!A23</f>
        <v>Dividend Amount</v>
      </c>
      <c r="C22" s="12">
        <f>'DATA SHEET'!B23/'DATA SHEET'!B$9</f>
        <v>2.487496593975512E-4</v>
      </c>
      <c r="D22" s="12">
        <f>'DATA SHEET'!C23/'DATA SHEET'!C$9</f>
        <v>0</v>
      </c>
      <c r="E22" s="12">
        <f>'DATA SHEET'!D23/'DATA SHEET'!D$9</f>
        <v>0</v>
      </c>
      <c r="F22" s="12">
        <f>'DATA SHEET'!E23/'DATA SHEET'!E$9</f>
        <v>0</v>
      </c>
      <c r="G22" s="12">
        <f>'DATA SHEET'!F23/'DATA SHEET'!F$9</f>
        <v>0</v>
      </c>
      <c r="H22" s="12">
        <f>'DATA SHEET'!G23/'DATA SHEET'!G$9</f>
        <v>0</v>
      </c>
      <c r="I22" s="12">
        <f>'DATA SHEET'!H23/'DATA SHEET'!H$9</f>
        <v>0</v>
      </c>
      <c r="J22" s="12">
        <f>'DATA SHEET'!I23/'DATA SHEET'!I$9</f>
        <v>2.2141420032091505E-3</v>
      </c>
      <c r="K22" s="12">
        <f>'DATA SHEET'!J23/'DATA SHEET'!J$9</f>
        <v>5.3016478655164784E-3</v>
      </c>
      <c r="L22" s="12">
        <f>'DATA SHEET'!K23/'DATA SHEET'!K$9</f>
        <v>5.0216627434926482E-3</v>
      </c>
    </row>
    <row r="23" spans="2:12" x14ac:dyDescent="0.3">
      <c r="B23" s="11" t="s">
        <v>17</v>
      </c>
      <c r="C23" s="12">
        <f>'DATA SHEET'!B25/'DATA SHEET'!B$9</f>
        <v>0.13259404289979404</v>
      </c>
      <c r="D23" s="12">
        <f>'DATA SHEET'!C25/'DATA SHEET'!C$9</f>
        <v>0.12180015677854755</v>
      </c>
      <c r="E23" s="12">
        <f>'DATA SHEET'!D25/'DATA SHEET'!D$9</f>
        <v>0.13570967195800879</v>
      </c>
      <c r="F23" s="12">
        <f>'DATA SHEET'!E25/'DATA SHEET'!E$9</f>
        <v>-6.340531711103989E-3</v>
      </c>
      <c r="G23" s="12">
        <f>'DATA SHEET'!F25/'DATA SHEET'!F$9</f>
        <v>6.5090941642515554E-2</v>
      </c>
      <c r="H23" s="12">
        <f>'DATA SHEET'!G25/'DATA SHEET'!G$9</f>
        <v>8.3005547554542272E-2</v>
      </c>
      <c r="I23" s="12">
        <f>'DATA SHEET'!H25/'DATA SHEET'!H$9</f>
        <v>9.6739162521930933E-2</v>
      </c>
      <c r="J23" s="12">
        <f>'DATA SHEET'!I25/'DATA SHEET'!I$9</f>
        <v>0.11042727575987964</v>
      </c>
      <c r="K23" s="12">
        <f>'DATA SHEET'!J25/'DATA SHEET'!J$9</f>
        <v>0.14333112143331123</v>
      </c>
      <c r="L23" s="12">
        <f>'DATA SHEET'!K25/'DATA SHEET'!K$9</f>
        <v>0.15163010723342316</v>
      </c>
    </row>
    <row r="24" spans="2:12" x14ac:dyDescent="0.3">
      <c r="B24" s="10"/>
    </row>
    <row r="25" spans="2:12" x14ac:dyDescent="0.3">
      <c r="B25" s="10"/>
    </row>
    <row r="26" spans="2:12" x14ac:dyDescent="0.3">
      <c r="B26" s="16" t="s">
        <v>47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8" spans="2:12" x14ac:dyDescent="0.3">
      <c r="B28" s="8" t="str">
        <f>B6</f>
        <v>Particulars</v>
      </c>
      <c r="C28" s="9">
        <f>'DATA SHEET'!B48</f>
        <v>42460</v>
      </c>
      <c r="D28" s="9">
        <f>'DATA SHEET'!C48</f>
        <v>42825</v>
      </c>
      <c r="E28" s="9">
        <f>'DATA SHEET'!D48</f>
        <v>43190</v>
      </c>
      <c r="F28" s="9">
        <f>'DATA SHEET'!E48</f>
        <v>43555</v>
      </c>
      <c r="G28" s="9">
        <f>'DATA SHEET'!F48</f>
        <v>43921</v>
      </c>
      <c r="H28" s="9">
        <f>'DATA SHEET'!G48</f>
        <v>44286</v>
      </c>
      <c r="I28" s="9">
        <f>'DATA SHEET'!H48</f>
        <v>44651</v>
      </c>
      <c r="J28" s="9">
        <f>'DATA SHEET'!I48</f>
        <v>45016</v>
      </c>
      <c r="K28" s="9">
        <f>'DATA SHEET'!J48</f>
        <v>45382</v>
      </c>
      <c r="L28" s="9">
        <f>'DATA SHEET'!K48</f>
        <v>45747</v>
      </c>
    </row>
    <row r="29" spans="2:12" x14ac:dyDescent="0.3">
      <c r="B29" s="13"/>
    </row>
    <row r="30" spans="2:12" x14ac:dyDescent="0.3">
      <c r="B30" s="14" t="s">
        <v>48</v>
      </c>
      <c r="C30" s="15">
        <f>'DATA SHEET'!B53/'DATA SHEET'!B$53</f>
        <v>1</v>
      </c>
      <c r="D30" s="15">
        <f>'DATA SHEET'!C53/'DATA SHEET'!C$53</f>
        <v>1</v>
      </c>
      <c r="E30" s="15">
        <f>'DATA SHEET'!D53/'DATA SHEET'!D$53</f>
        <v>1</v>
      </c>
      <c r="F30" s="15">
        <f>'DATA SHEET'!E53/'DATA SHEET'!E$53</f>
        <v>1</v>
      </c>
      <c r="G30" s="15">
        <f>'DATA SHEET'!F53/'DATA SHEET'!F$53</f>
        <v>1</v>
      </c>
      <c r="H30" s="15">
        <f>'DATA SHEET'!G53/'DATA SHEET'!G$53</f>
        <v>1</v>
      </c>
      <c r="I30" s="15">
        <f>'DATA SHEET'!H53/'DATA SHEET'!H$53</f>
        <v>1</v>
      </c>
      <c r="J30" s="15">
        <f>'DATA SHEET'!I53/'DATA SHEET'!I$53</f>
        <v>1</v>
      </c>
      <c r="K30" s="15">
        <f>'DATA SHEET'!J53/'DATA SHEET'!J$53</f>
        <v>1</v>
      </c>
      <c r="L30" s="15">
        <f>'DATA SHEET'!K53/'DATA SHEET'!K$53</f>
        <v>1</v>
      </c>
    </row>
    <row r="31" spans="2:12" x14ac:dyDescent="0.3">
      <c r="B31" s="10" t="str">
        <f>'DATA SHEET'!A49</f>
        <v>Equity Share Capital</v>
      </c>
      <c r="C31" s="12">
        <f>'DATA SHEET'!B49/'DATA SHEET'!B$53</f>
        <v>2.5806268250531225E-3</v>
      </c>
      <c r="D31" s="12">
        <f>'DATA SHEET'!C49/'DATA SHEET'!C$53</f>
        <v>2.491815624573979E-3</v>
      </c>
      <c r="E31" s="12">
        <f>'DATA SHEET'!D49/'DATA SHEET'!D$53</f>
        <v>2.0759077068585549E-3</v>
      </c>
      <c r="F31" s="12">
        <f>'DATA SHEET'!E49/'DATA SHEET'!E$53</f>
        <v>2.2218261230841693E-3</v>
      </c>
      <c r="G31" s="12">
        <f>'DATA SHEET'!F49/'DATA SHEET'!F$53</f>
        <v>2.2473026761653833E-3</v>
      </c>
      <c r="H31" s="12">
        <f>'DATA SHEET'!G49/'DATA SHEET'!G$53</f>
        <v>2.2420300429859294E-3</v>
      </c>
      <c r="I31" s="12">
        <f>'DATA SHEET'!H49/'DATA SHEET'!H$53</f>
        <v>2.3274677325505334E-3</v>
      </c>
      <c r="J31" s="12">
        <f>'DATA SHEET'!I49/'DATA SHEET'!I$53</f>
        <v>2.2888512875034999E-3</v>
      </c>
      <c r="K31" s="12">
        <f>'DATA SHEET'!J49/'DATA SHEET'!J$53</f>
        <v>2.0756601113333206E-3</v>
      </c>
      <c r="L31" s="12">
        <f>'DATA SHEET'!K49/'DATA SHEET'!K$53</f>
        <v>1.952394468569367E-3</v>
      </c>
    </row>
    <row r="32" spans="2:12" x14ac:dyDescent="0.3">
      <c r="B32" s="10" t="str">
        <f>'DATA SHEET'!A50</f>
        <v>Reserves</v>
      </c>
      <c r="C32" s="12">
        <f>'DATA SHEET'!B50/'DATA SHEET'!B$53</f>
        <v>0.2974086354450261</v>
      </c>
      <c r="D32" s="12">
        <f>'DATA SHEET'!C50/'DATA SHEET'!C$53</f>
        <v>0.21051652437468349</v>
      </c>
      <c r="E32" s="12">
        <f>'DATA SHEET'!D50/'DATA SHEET'!D$53</f>
        <v>0.28958148432871839</v>
      </c>
      <c r="F32" s="12">
        <f>'DATA SHEET'!E50/'DATA SHEET'!E$53</f>
        <v>0.19463415350606564</v>
      </c>
      <c r="G32" s="12">
        <f>'DATA SHEET'!F50/'DATA SHEET'!F$53</f>
        <v>0.19476266101949907</v>
      </c>
      <c r="H32" s="12">
        <f>'DATA SHEET'!G50/'DATA SHEET'!G$53</f>
        <v>0.15950149121742019</v>
      </c>
      <c r="I32" s="12">
        <f>'DATA SHEET'!H50/'DATA SHEET'!H$53</f>
        <v>0.13309172094249011</v>
      </c>
      <c r="J32" s="12">
        <f>'DATA SHEET'!I50/'DATA SHEET'!I$53</f>
        <v>0.13313168263258116</v>
      </c>
      <c r="K32" s="12">
        <f>'DATA SHEET'!J50/'DATA SHEET'!J$53</f>
        <v>0.22772995310144756</v>
      </c>
      <c r="L32" s="12">
        <f>'DATA SHEET'!K50/'DATA SHEET'!K$53</f>
        <v>0.30614394134327921</v>
      </c>
    </row>
    <row r="33" spans="2:13" x14ac:dyDescent="0.3">
      <c r="B33" s="10" t="str">
        <f>'DATA SHEET'!A51</f>
        <v>Borrowings</v>
      </c>
      <c r="C33" s="12">
        <f>'DATA SHEET'!B51/'DATA SHEET'!B$53</f>
        <v>0.2635415844998551</v>
      </c>
      <c r="D33" s="12">
        <f>'DATA SHEET'!C51/'DATA SHEET'!C$53</f>
        <v>0.2883699324485447</v>
      </c>
      <c r="E33" s="12">
        <f>'DATA SHEET'!D51/'DATA SHEET'!D$53</f>
        <v>0.27186031948660327</v>
      </c>
      <c r="F33" s="12">
        <f>'DATA SHEET'!E51/'DATA SHEET'!E$53</f>
        <v>0.34731477877468786</v>
      </c>
      <c r="G33" s="12">
        <f>'DATA SHEET'!F51/'DATA SHEET'!F$53</f>
        <v>0.38974288757311953</v>
      </c>
      <c r="H33" s="12">
        <f>'DATA SHEET'!G51/'DATA SHEET'!G$53</f>
        <v>0.41610975041683274</v>
      </c>
      <c r="I33" s="12">
        <f>'DATA SHEET'!H51/'DATA SHEET'!H$53</f>
        <v>0.445050649956031</v>
      </c>
      <c r="J33" s="12">
        <f>'DATA SHEET'!I51/'DATA SHEET'!I$53</f>
        <v>0.40072807474416255</v>
      </c>
      <c r="K33" s="12">
        <f>'DATA SHEET'!J51/'DATA SHEET'!J$53</f>
        <v>0.2902784956741295</v>
      </c>
      <c r="L33" s="12">
        <f>'DATA SHEET'!K51/'DATA SHEET'!K$53</f>
        <v>0.18977486451284309</v>
      </c>
    </row>
    <row r="34" spans="2:13" x14ac:dyDescent="0.3">
      <c r="B34" s="10" t="str">
        <f>'DATA SHEET'!A52</f>
        <v>Other Liabilities</v>
      </c>
      <c r="C34" s="12">
        <f>'DATA SHEET'!B52/'DATA SHEET'!B$53</f>
        <v>0.43646915323006569</v>
      </c>
      <c r="D34" s="12">
        <f>'DATA SHEET'!C52/'DATA SHEET'!C$53</f>
        <v>0.4986217275521978</v>
      </c>
      <c r="E34" s="12">
        <f>'DATA SHEET'!D52/'DATA SHEET'!D$53</f>
        <v>0.43648228847781978</v>
      </c>
      <c r="F34" s="12">
        <f>'DATA SHEET'!E52/'DATA SHEET'!E$53</f>
        <v>0.45582924159616234</v>
      </c>
      <c r="G34" s="12">
        <f>'DATA SHEET'!F52/'DATA SHEET'!F$53</f>
        <v>0.41324714873121593</v>
      </c>
      <c r="H34" s="12">
        <f>'DATA SHEET'!G52/'DATA SHEET'!G$53</f>
        <v>0.42214672832276123</v>
      </c>
      <c r="I34" s="12">
        <f>'DATA SHEET'!H52/'DATA SHEET'!H$53</f>
        <v>0.41953016136892834</v>
      </c>
      <c r="J34" s="12">
        <f>'DATA SHEET'!I52/'DATA SHEET'!I$53</f>
        <v>0.46385139133575282</v>
      </c>
      <c r="K34" s="12">
        <f>'DATA SHEET'!J52/'DATA SHEET'!J$53</f>
        <v>0.47991589111308963</v>
      </c>
      <c r="L34" s="12">
        <f>'DATA SHEET'!K52/'DATA SHEET'!K$53</f>
        <v>0.50212879967530832</v>
      </c>
    </row>
    <row r="35" spans="2:13" x14ac:dyDescent="0.3">
      <c r="B35" s="10"/>
    </row>
    <row r="36" spans="2:13" x14ac:dyDescent="0.3">
      <c r="B36" s="14" t="s">
        <v>49</v>
      </c>
      <c r="C36" s="15">
        <f>'DATA SHEET'!B66/'DATA SHEET'!B$66</f>
        <v>1</v>
      </c>
      <c r="D36" s="15">
        <f>'DATA SHEET'!C66/'DATA SHEET'!C$66</f>
        <v>1</v>
      </c>
      <c r="E36" s="15">
        <f>'DATA SHEET'!D66/'DATA SHEET'!D$66</f>
        <v>1</v>
      </c>
      <c r="F36" s="15">
        <f>'DATA SHEET'!E66/'DATA SHEET'!E$66</f>
        <v>1</v>
      </c>
      <c r="G36" s="15">
        <f>'DATA SHEET'!F66/'DATA SHEET'!F$66</f>
        <v>1</v>
      </c>
      <c r="H36" s="15">
        <f>'DATA SHEET'!G66/'DATA SHEET'!G$66</f>
        <v>1</v>
      </c>
      <c r="I36" s="15">
        <f>'DATA SHEET'!H66/'DATA SHEET'!H$66</f>
        <v>1</v>
      </c>
      <c r="J36" s="15">
        <f>'DATA SHEET'!I66/'DATA SHEET'!I$66</f>
        <v>1</v>
      </c>
      <c r="K36" s="15">
        <f>'DATA SHEET'!J66/'DATA SHEET'!J$66</f>
        <v>1</v>
      </c>
      <c r="L36" s="15">
        <f>'DATA SHEET'!K66/'DATA SHEET'!K$66</f>
        <v>1</v>
      </c>
    </row>
    <row r="37" spans="2:13" x14ac:dyDescent="0.3">
      <c r="B37" s="10" t="str">
        <f>'DATA SHEET'!A54</f>
        <v>Net Block</v>
      </c>
      <c r="C37" s="12">
        <f>'DATA SHEET'!B54/'DATA SHEET'!B$66</f>
        <v>0.40744008415097382</v>
      </c>
      <c r="D37" s="12">
        <f>'DATA SHEET'!C54/'DATA SHEET'!C$66</f>
        <v>0.35198456704657666</v>
      </c>
      <c r="E37" s="12">
        <f>'DATA SHEET'!D54/'DATA SHEET'!D$66</f>
        <v>0.37107854258332446</v>
      </c>
      <c r="F37" s="12">
        <f>'DATA SHEET'!E54/'DATA SHEET'!E$66</f>
        <v>0.36386391925064382</v>
      </c>
      <c r="G37" s="12">
        <f>'DATA SHEET'!F54/'DATA SHEET'!F$66</f>
        <v>0.39698726392101624</v>
      </c>
      <c r="H37" s="12">
        <f>'DATA SHEET'!G54/'DATA SHEET'!G$66</f>
        <v>0.40608849298230043</v>
      </c>
      <c r="I37" s="12">
        <f>'DATA SHEET'!H54/'DATA SHEET'!H$66</f>
        <v>0.42197417266906562</v>
      </c>
      <c r="J37" s="12">
        <f>'DATA SHEET'!I54/'DATA SHEET'!I$66</f>
        <v>0.39465148263642374</v>
      </c>
      <c r="K37" s="12">
        <f>'DATA SHEET'!J54/'DATA SHEET'!J$66</f>
        <v>0.32822221199877677</v>
      </c>
      <c r="L37" s="12">
        <f>'DATA SHEET'!K54/'DATA SHEET'!K$66</f>
        <v>0.3069105744973778</v>
      </c>
    </row>
    <row r="38" spans="2:13" x14ac:dyDescent="0.3">
      <c r="B38" s="10" t="str">
        <f>'DATA SHEET'!A55</f>
        <v>Capital Work in Progress</v>
      </c>
      <c r="C38" s="12">
        <f>'DATA SHEET'!B55/'DATA SHEET'!B$66</f>
        <v>9.8482157662096018E-2</v>
      </c>
      <c r="D38" s="12">
        <f>'DATA SHEET'!C55/'DATA SHEET'!C$66</f>
        <v>0.12362900980833688</v>
      </c>
      <c r="E38" s="12">
        <f>'DATA SHEET'!D55/'DATA SHEET'!D$66</f>
        <v>0.12235483522646853</v>
      </c>
      <c r="F38" s="12">
        <f>'DATA SHEET'!E55/'DATA SHEET'!E$66</f>
        <v>0.1042966176146697</v>
      </c>
      <c r="G38" s="12">
        <f>'DATA SHEET'!F55/'DATA SHEET'!F$66</f>
        <v>0.11125728611076434</v>
      </c>
      <c r="H38" s="12">
        <f>'DATA SHEET'!G55/'DATA SHEET'!G$66</f>
        <v>6.137522476731045E-2</v>
      </c>
      <c r="I38" s="12">
        <f>'DATA SHEET'!H55/'DATA SHEET'!H$66</f>
        <v>3.1152505873598278E-2</v>
      </c>
      <c r="J38" s="12">
        <f>'DATA SHEET'!I55/'DATA SHEET'!I$66</f>
        <v>4.2651899041106903E-2</v>
      </c>
      <c r="K38" s="12">
        <f>'DATA SHEET'!J55/'DATA SHEET'!J$66</f>
        <v>9.6606146876632187E-2</v>
      </c>
      <c r="L38" s="12">
        <f>'DATA SHEET'!K55/'DATA SHEET'!K$66</f>
        <v>0.17456422608515729</v>
      </c>
    </row>
    <row r="39" spans="2:13" x14ac:dyDescent="0.3">
      <c r="B39" s="10" t="str">
        <f>'DATA SHEET'!A56</f>
        <v>Investments</v>
      </c>
      <c r="C39" s="12">
        <f>'DATA SHEET'!B56/'DATA SHEET'!B$66</f>
        <v>9.0305676497502971E-2</v>
      </c>
      <c r="D39" s="12">
        <f>'DATA SHEET'!C56/'DATA SHEET'!C$66</f>
        <v>7.4612565630187005E-2</v>
      </c>
      <c r="E39" s="12">
        <f>'DATA SHEET'!D56/'DATA SHEET'!D$66</f>
        <v>6.3610241344366172E-2</v>
      </c>
      <c r="F39" s="12">
        <f>'DATA SHEET'!E56/'DATA SHEET'!E$66</f>
        <v>5.1588289031309388E-2</v>
      </c>
      <c r="G39" s="12">
        <f>'DATA SHEET'!F56/'DATA SHEET'!F$66</f>
        <v>5.0935445907370862E-2</v>
      </c>
      <c r="H39" s="12">
        <f>'DATA SHEET'!G56/'DATA SHEET'!G$66</f>
        <v>7.207976838475029E-2</v>
      </c>
      <c r="I39" s="12">
        <f>'DATA SHEET'!H56/'DATA SHEET'!H$66</f>
        <v>8.928279635517361E-2</v>
      </c>
      <c r="J39" s="12">
        <f>'DATA SHEET'!I56/'DATA SHEET'!I$66</f>
        <v>7.8820362822460022E-2</v>
      </c>
      <c r="K39" s="12">
        <f>'DATA SHEET'!J56/'DATA SHEET'!J$66</f>
        <v>6.2164261300440303E-2</v>
      </c>
      <c r="L39" s="12">
        <f>'DATA SHEET'!K56/'DATA SHEET'!K$66</f>
        <v>9.4585023330583357E-2</v>
      </c>
    </row>
    <row r="40" spans="2:13" x14ac:dyDescent="0.3">
      <c r="B40" s="10" t="str">
        <f>'DATA SHEET'!A57</f>
        <v>Other Assets</v>
      </c>
      <c r="C40" s="12">
        <f>'DATA SHEET'!B68/'DATA SHEET'!B$66</f>
        <v>0.11239036762552386</v>
      </c>
      <c r="D40" s="12">
        <f>'DATA SHEET'!C68/'DATA SHEET'!C$66</f>
        <v>0.13706335995740859</v>
      </c>
      <c r="E40" s="12">
        <f>'DATA SHEET'!D68/'DATA SHEET'!D$66</f>
        <v>0.14757967199729119</v>
      </c>
      <c r="F40" s="12">
        <f>'DATA SHEET'!E68/'DATA SHEET'!E$66</f>
        <v>0.1836934867835496</v>
      </c>
      <c r="G40" s="12">
        <f>'DATA SHEET'!F68/'DATA SHEET'!F$66</f>
        <v>0.1836000124805035</v>
      </c>
      <c r="H40" s="12">
        <f>'DATA SHEET'!G68/'DATA SHEET'!G$66</f>
        <v>0.18068910109792749</v>
      </c>
      <c r="I40" s="12">
        <f>'DATA SHEET'!H68/'DATA SHEET'!H$66</f>
        <v>0.18909465826584576</v>
      </c>
      <c r="J40" s="12">
        <f>'DATA SHEET'!I68/'DATA SHEET'!I$66</f>
        <v>0.20447361335612049</v>
      </c>
      <c r="K40" s="12">
        <f>'DATA SHEET'!J68/'DATA SHEET'!J$66</f>
        <v>0.21384440938404042</v>
      </c>
      <c r="L40" s="12">
        <f>'DATA SHEET'!K68/'DATA SHEET'!K$66</f>
        <v>0.15508537746735176</v>
      </c>
      <c r="M40" s="12"/>
    </row>
    <row r="41" spans="2:13" x14ac:dyDescent="0.3">
      <c r="B41" s="10" t="s">
        <v>31</v>
      </c>
      <c r="C41" s="12">
        <f>'DATA SHEET'!B59/'DATA SHEET'!B$66</f>
        <v>5.1564319306195219E-2</v>
      </c>
      <c r="D41" s="12">
        <f>'DATA SHEET'!C59/'DATA SHEET'!C$66</f>
        <v>5.1638166447501938E-2</v>
      </c>
      <c r="E41" s="12">
        <f>'DATA SHEET'!D59/'DATA SHEET'!D$66</f>
        <v>6.0800115993123419E-2</v>
      </c>
      <c r="F41" s="12">
        <f>'DATA SHEET'!E59/'DATA SHEET'!E$66</f>
        <v>6.2139198999658127E-2</v>
      </c>
      <c r="G41" s="12">
        <f>'DATA SHEET'!F59/'DATA SHEET'!F$66</f>
        <v>3.4895094278241959E-2</v>
      </c>
      <c r="H41" s="12">
        <f>'DATA SHEET'!G59/'DATA SHEET'!G$66</f>
        <v>3.7120014464974392E-2</v>
      </c>
      <c r="I41" s="12">
        <f>'DATA SHEET'!H59/'DATA SHEET'!H$66</f>
        <v>3.7810927070195913E-2</v>
      </c>
      <c r="J41" s="12">
        <f>'DATA SHEET'!I59/'DATA SHEET'!I$66</f>
        <v>4.7024715930643397E-2</v>
      </c>
      <c r="K41" s="12">
        <f>'DATA SHEET'!J59/'DATA SHEET'!J$66</f>
        <v>4.5875606528451698E-2</v>
      </c>
      <c r="L41" s="12">
        <f>'DATA SHEET'!K59/'DATA SHEET'!K$66</f>
        <v>3.5143100434248606E-2</v>
      </c>
    </row>
    <row r="42" spans="2:13" x14ac:dyDescent="0.3">
      <c r="B42" s="10" t="s">
        <v>32</v>
      </c>
      <c r="C42" s="12">
        <f>'DATA SHEET'!B60/'DATA SHEET'!B$66</f>
        <v>0.12407940874244236</v>
      </c>
      <c r="D42" s="12">
        <f>'DATA SHEET'!C60/'DATA SHEET'!C$66</f>
        <v>0.12871547311772571</v>
      </c>
      <c r="E42" s="12">
        <f>'DATA SHEET'!D60/'DATA SHEET'!D$66</f>
        <v>0.12878571135383859</v>
      </c>
      <c r="F42" s="12">
        <f>'DATA SHEET'!E60/'DATA SHEET'!E$66</f>
        <v>0.12761951131143451</v>
      </c>
      <c r="G42" s="12">
        <f>'DATA SHEET'!F60/'DATA SHEET'!F$66</f>
        <v>0.11698716772494318</v>
      </c>
      <c r="H42" s="12">
        <f>'DATA SHEET'!G60/'DATA SHEET'!G$66</f>
        <v>0.1056550619461767</v>
      </c>
      <c r="I42" s="12">
        <f>'DATA SHEET'!H60/'DATA SHEET'!H$66</f>
        <v>0.1070934797019244</v>
      </c>
      <c r="J42" s="12">
        <f>'DATA SHEET'!I60/'DATA SHEET'!I$66</f>
        <v>0.12177622891596469</v>
      </c>
      <c r="K42" s="12">
        <f>'DATA SHEET'!J60/'DATA SHEET'!J$66</f>
        <v>0.12932417914002181</v>
      </c>
      <c r="L42" s="12">
        <f>'DATA SHEET'!K60/'DATA SHEET'!K$66</f>
        <v>0.12539094311794213</v>
      </c>
    </row>
    <row r="43" spans="2:13" x14ac:dyDescent="0.3">
      <c r="B43" s="10" t="s">
        <v>33</v>
      </c>
      <c r="C43" s="12">
        <f>'DATA SHEET'!B61/'DATA SHEET'!B$66</f>
        <v>0.11573798601526566</v>
      </c>
      <c r="D43" s="12">
        <f>'DATA SHEET'!C61/'DATA SHEET'!C$66</f>
        <v>0.13235685799226327</v>
      </c>
      <c r="E43" s="12">
        <f>'DATA SHEET'!D61/'DATA SHEET'!D$66</f>
        <v>0.10579088150158772</v>
      </c>
      <c r="F43" s="12">
        <f>'DATA SHEET'!E61/'DATA SHEET'!E$66</f>
        <v>0.10679897700873484</v>
      </c>
      <c r="G43" s="12">
        <f>'DATA SHEET'!F61/'DATA SHEET'!F$66</f>
        <v>0.10533772957715985</v>
      </c>
      <c r="H43" s="12">
        <f>'DATA SHEET'!G61/'DATA SHEET'!G$66</f>
        <v>0.13699233635656022</v>
      </c>
      <c r="I43" s="12">
        <f>'DATA SHEET'!H61/'DATA SHEET'!H$66</f>
        <v>0.12359146006419652</v>
      </c>
      <c r="J43" s="12">
        <f>'DATA SHEET'!I61/'DATA SHEET'!I$66</f>
        <v>0.11060169729728082</v>
      </c>
      <c r="K43" s="12">
        <f>'DATA SHEET'!J61/'DATA SHEET'!J$66</f>
        <v>0.1239631847716368</v>
      </c>
      <c r="L43" s="12">
        <f>'DATA SHEET'!K61/'DATA SHEET'!K$66</f>
        <v>0.10832075506733904</v>
      </c>
    </row>
    <row r="44" spans="2:13" x14ac:dyDescent="0.3">
      <c r="B44" s="10"/>
    </row>
    <row r="45" spans="2:13" x14ac:dyDescent="0.3">
      <c r="B45" s="10"/>
    </row>
    <row r="46" spans="2:13" x14ac:dyDescent="0.3">
      <c r="B46" s="10"/>
    </row>
    <row r="47" spans="2:13" x14ac:dyDescent="0.3">
      <c r="B47" s="10"/>
    </row>
    <row r="48" spans="2:13" x14ac:dyDescent="0.3">
      <c r="B48" s="10"/>
    </row>
  </sheetData>
  <mergeCells count="2">
    <mergeCell ref="B4:L4"/>
    <mergeCell ref="B26:L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SHEET</vt:lpstr>
      <vt:lpstr>Common Size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Anikett Chawla</dc:creator>
  <cp:lastModifiedBy>Anikett Chawla</cp:lastModifiedBy>
  <dcterms:created xsi:type="dcterms:W3CDTF">2026-03-10T14:14:08Z</dcterms:created>
  <dcterms:modified xsi:type="dcterms:W3CDTF">2026-03-23T14:20:44Z</dcterms:modified>
</cp:coreProperties>
</file>