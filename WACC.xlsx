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67be8e1f9ac33a9/Documents/"/>
    </mc:Choice>
  </mc:AlternateContent>
  <xr:revisionPtr revIDLastSave="576" documentId="8_{47654D3B-6839-4FDA-912A-CD7D0C6140A7}" xr6:coauthVersionLast="47" xr6:coauthVersionMax="47" xr10:uidLastSave="{CB00DE0D-4ED8-475B-8525-2BFC5AF81444}"/>
  <bookViews>
    <workbookView xWindow="-108" yWindow="-108" windowWidth="23256" windowHeight="12456" activeTab="1" xr2:uid="{62BA94CD-8C59-4B9D-BC2E-120C84C36A0D}"/>
  </bookViews>
  <sheets>
    <sheet name="DCF&gt;" sheetId="2" r:id="rId1"/>
    <sheet name="WACC" sheetId="1" r:id="rId2"/>
    <sheet name="DATA&gt;" sheetId="3" r:id="rId3"/>
    <sheet name="REGRESSION BETA" sheetId="4" r:id="rId4"/>
    <sheet name="COMPS BETA" sheetId="5" r:id="rId5"/>
    <sheet name="Rm " sheetId="6" r:id="rId6"/>
  </sheets>
  <definedNames>
    <definedName name="_xlnm._FilterDatabase" localSheetId="3" hidden="1">'REGRESSION BETA'!$B$6:$D$31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8" i="1" l="1"/>
  <c r="J46" i="1"/>
  <c r="J45" i="1"/>
  <c r="J43" i="1"/>
  <c r="J42" i="1"/>
  <c r="D26" i="1"/>
  <c r="J29" i="1"/>
  <c r="J27" i="1"/>
  <c r="F7" i="6"/>
  <c r="F5" i="6"/>
  <c r="D27" i="1"/>
  <c r="J28" i="1"/>
  <c r="J37" i="1"/>
  <c r="J35" i="1"/>
  <c r="E41" i="1"/>
  <c r="D41" i="1"/>
  <c r="E36" i="1"/>
  <c r="E35" i="1"/>
  <c r="D36" i="1"/>
  <c r="D37" i="1"/>
  <c r="D35" i="1"/>
  <c r="C37" i="1"/>
  <c r="C36" i="1"/>
  <c r="C35" i="1"/>
  <c r="J36" i="1"/>
  <c r="I14" i="1"/>
  <c r="H17" i="1"/>
  <c r="H18" i="1"/>
  <c r="H14" i="1"/>
  <c r="E15" i="1"/>
  <c r="E16" i="1"/>
  <c r="E17" i="1"/>
  <c r="E18" i="1"/>
  <c r="E14" i="1"/>
  <c r="D15" i="1"/>
  <c r="H15" i="1" s="1"/>
  <c r="D16" i="1"/>
  <c r="H16" i="1" s="1"/>
  <c r="D17" i="1"/>
  <c r="D18" i="1"/>
  <c r="D14" i="1"/>
  <c r="G14" i="1" s="1"/>
  <c r="J12" i="4"/>
  <c r="J6" i="4"/>
  <c r="S9" i="4"/>
  <c r="G31" i="4" l="1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D24" i="4"/>
  <c r="D25" i="4"/>
  <c r="D26" i="4"/>
  <c r="D27" i="4"/>
  <c r="D28" i="4"/>
  <c r="D29" i="4"/>
  <c r="D30" i="4"/>
  <c r="D31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8" i="4"/>
  <c r="D28" i="1"/>
  <c r="I21" i="1"/>
  <c r="I20" i="1"/>
  <c r="F21" i="1"/>
  <c r="F20" i="1"/>
  <c r="G15" i="1"/>
  <c r="J15" i="1" s="1"/>
  <c r="G16" i="1"/>
  <c r="J16" i="1" s="1"/>
  <c r="G17" i="1"/>
  <c r="J17" i="1" s="1"/>
  <c r="G18" i="1"/>
  <c r="J18" i="1" s="1"/>
  <c r="G21" i="1" l="1"/>
  <c r="G20" i="1"/>
  <c r="H21" i="1"/>
  <c r="J14" i="1"/>
  <c r="H20" i="1"/>
  <c r="J21" i="1" l="1"/>
  <c r="J20" i="1"/>
</calcChain>
</file>

<file path=xl/sharedStrings.xml><?xml version="1.0" encoding="utf-8"?>
<sst xmlns="http://schemas.openxmlformats.org/spreadsheetml/2006/main" count="140" uniqueCount="126">
  <si>
    <t>Weighted average cost of capital</t>
  </si>
  <si>
    <t>all figures are in INR unless stated otherwise</t>
  </si>
  <si>
    <t>Peer comps</t>
  </si>
  <si>
    <t xml:space="preserve">Name of the comp </t>
  </si>
  <si>
    <t>country</t>
  </si>
  <si>
    <t>total debt</t>
  </si>
  <si>
    <t>total equity</t>
  </si>
  <si>
    <r>
      <t xml:space="preserve">Taxrate </t>
    </r>
    <r>
      <rPr>
        <vertAlign val="superscript"/>
        <sz val="11"/>
        <color theme="1"/>
        <rFont val="Calibri"/>
        <family val="2"/>
      </rPr>
      <t>1</t>
    </r>
  </si>
  <si>
    <t>debt/</t>
  </si>
  <si>
    <t>equity</t>
  </si>
  <si>
    <t>capital</t>
  </si>
  <si>
    <t xml:space="preserve">Levered </t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</si>
  <si>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</si>
  <si>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</si>
  <si>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</si>
  <si>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</si>
  <si>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Average</t>
  </si>
  <si>
    <t>Median</t>
  </si>
  <si>
    <t>Cost of debt</t>
  </si>
  <si>
    <t>Pre Tax Cost of debt</t>
  </si>
  <si>
    <t xml:space="preserve">Tax rate </t>
  </si>
  <si>
    <t>Post tax cost of debt</t>
  </si>
  <si>
    <t>Cost  Of Equity</t>
  </si>
  <si>
    <t xml:space="preserve">Risk Free Rate </t>
  </si>
  <si>
    <t>Equity Risk Premium</t>
  </si>
  <si>
    <t xml:space="preserve">Levered Beta </t>
  </si>
  <si>
    <t>Cost of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</si>
  <si>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  <r>
      <rPr>
        <sz val="11"/>
        <color theme="1"/>
        <rFont val="Calibri"/>
        <family val="2"/>
      </rPr>
      <t xml:space="preserve"> </t>
    </r>
  </si>
  <si>
    <t>Current</t>
  </si>
  <si>
    <t>Target</t>
  </si>
  <si>
    <t>Total Debt</t>
  </si>
  <si>
    <t>Market capitiliziation</t>
  </si>
  <si>
    <t>Total capitaliziation</t>
  </si>
  <si>
    <t>Levered Beta</t>
  </si>
  <si>
    <t>Comp Median Unlevered Beta</t>
  </si>
  <si>
    <t xml:space="preserve">Target debt/equity </t>
  </si>
  <si>
    <t>Tax rate</t>
  </si>
  <si>
    <t>Debt/Equity</t>
  </si>
  <si>
    <t>Weighted Average Cost of Capital</t>
  </si>
  <si>
    <t>Capital Structure</t>
  </si>
  <si>
    <t xml:space="preserve">Regression Beta </t>
  </si>
  <si>
    <t>Date</t>
  </si>
  <si>
    <t>Feb 27, 2026</t>
  </si>
  <si>
    <t>Feb 1, 2026</t>
  </si>
  <si>
    <t>Jan 1, 2026</t>
  </si>
  <si>
    <t>Dec 1, 2025</t>
  </si>
  <si>
    <t>Nov 1, 2025</t>
  </si>
  <si>
    <t>Oct 1, 2025</t>
  </si>
  <si>
    <t>Sep 1, 2025</t>
  </si>
  <si>
    <t>Aug 1, 2025</t>
  </si>
  <si>
    <t>Jul 1, 2025</t>
  </si>
  <si>
    <t>Jun 1, 2025</t>
  </si>
  <si>
    <t>May 1, 2025</t>
  </si>
  <si>
    <t>Apr 1, 2025</t>
  </si>
  <si>
    <t>Mar 1, 2025</t>
  </si>
  <si>
    <t>Feb 1, 2025</t>
  </si>
  <si>
    <t>Jan 1, 2025</t>
  </si>
  <si>
    <t>Dec 1, 2024</t>
  </si>
  <si>
    <t>Nov 1, 2024</t>
  </si>
  <si>
    <t>Oct 1, 2024</t>
  </si>
  <si>
    <t>Sep 1, 2024</t>
  </si>
  <si>
    <t>Aug 1, 2024</t>
  </si>
  <si>
    <t>Jul 1, 2024</t>
  </si>
  <si>
    <t>Jun 1, 2024</t>
  </si>
  <si>
    <t>May 1, 2024</t>
  </si>
  <si>
    <t>Apr 1, 2024</t>
  </si>
  <si>
    <t>Mar 1, 2024</t>
  </si>
  <si>
    <t xml:space="preserve">Closing Price </t>
  </si>
  <si>
    <t xml:space="preserve">Avenue Supermart Weekly Returns </t>
  </si>
  <si>
    <t xml:space="preserve"> Returns</t>
  </si>
  <si>
    <t>NIFTY Returns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</si>
  <si>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</si>
  <si>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</si>
  <si>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</si>
  <si>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</si>
  <si>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</si>
  <si>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</si>
  <si>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</si>
  <si>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</si>
  <si>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</si>
  <si>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</si>
  <si>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</si>
  <si>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</si>
  <si>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</si>
  <si>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</si>
  <si>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</si>
  <si>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</si>
  <si>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</si>
  <si>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</si>
  <si>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</si>
  <si>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</si>
  <si>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</si>
  <si>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</si>
  <si>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</si>
  <si>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</si>
  <si>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</si>
  <si>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 xml:space="preserve">Beta </t>
  </si>
  <si>
    <t>Beta Drifting</t>
  </si>
  <si>
    <t>Levered Raw Beta</t>
  </si>
  <si>
    <t>Beta Weight</t>
  </si>
  <si>
    <t>Market Beta Weight</t>
  </si>
  <si>
    <t xml:space="preserve">Market Beta </t>
  </si>
  <si>
    <t>Adjusted Beta</t>
  </si>
  <si>
    <t xml:space="preserve">  </t>
  </si>
  <si>
    <t>S.No.</t>
  </si>
  <si>
    <t>Name</t>
  </si>
  <si>
    <t>CMP Rs.</t>
  </si>
  <si>
    <t xml:space="preserve">Mar Cap Rs.Cr. </t>
  </si>
  <si>
    <t>Debt Rs.Cr.</t>
  </si>
  <si>
    <t>Debt / Eq</t>
  </si>
  <si>
    <t>Avenue Super.</t>
  </si>
  <si>
    <t>Eternal</t>
  </si>
  <si>
    <t>Trent</t>
  </si>
  <si>
    <t>Lenskart Solut.</t>
  </si>
  <si>
    <t>Swiggy</t>
  </si>
  <si>
    <t>Year</t>
  </si>
  <si>
    <t>Annual</t>
  </si>
  <si>
    <t>Return on Markets</t>
  </si>
  <si>
    <t>Average Return</t>
  </si>
  <si>
    <t>Dividend Yeild</t>
  </si>
  <si>
    <r>
      <t xml:space="preserve">1.28% </t>
    </r>
    <r>
      <rPr>
        <vertAlign val="superscript"/>
        <sz val="11"/>
        <color theme="1"/>
        <rFont val="Calibri"/>
        <family val="2"/>
      </rPr>
      <t>1</t>
    </r>
  </si>
  <si>
    <t>Toatal Market Return</t>
  </si>
  <si>
    <t>Equity Weight</t>
  </si>
  <si>
    <t>Cost of Debt</t>
  </si>
  <si>
    <t>Debt Weight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</si>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</sst>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[$-14009]dd/mm/yyyy;@"/>
    <numFmt numFmtId="166" formatCode="0.0%"/>
  </numFmts>
  <fonts count="11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b/>
      <i/>
      <sz val="12"/>
      <color theme="1"/>
      <name val="Calibri"/>
      <family val="2"/>
    </font>
    <font>
      <vertAlign val="superscript"/>
      <sz val="11"/>
      <color theme="1"/>
      <name val="Calibri"/>
      <family val="2"/>
    </font>
    <font>
      <sz val="11"/>
      <color rgb="FF002060"/>
      <name val="Calibri"/>
      <family val="2"/>
    </font>
    <font>
      <b/>
      <sz val="11"/>
      <color theme="2"/>
      <name val="Calibri"/>
      <family val="2"/>
    </font>
    <font>
      <i/>
      <sz val="11"/>
      <color theme="1"/>
      <name val="Calibri"/>
      <family val="2"/>
    </font>
    <font>
      <sz val="11"/>
      <color rgb="FF00206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2" borderId="0" xfId="0" applyFont="1" applyFill="1"/>
    <xf numFmtId="0" fontId="0" fillId="0" borderId="1" xfId="0" applyBorder="1"/>
    <xf numFmtId="0" fontId="0" fillId="0" borderId="2" xfId="0" applyBorder="1"/>
    <xf numFmtId="0" fontId="7" fillId="0" borderId="0" xfId="0" applyFont="1"/>
    <xf numFmtId="4" fontId="7" fillId="0" borderId="0" xfId="0" applyNumberFormat="1" applyFont="1"/>
    <xf numFmtId="10" fontId="7" fillId="0" borderId="0" xfId="0" applyNumberFormat="1" applyFont="1"/>
    <xf numFmtId="9" fontId="0" fillId="0" borderId="0" xfId="1" applyFont="1"/>
    <xf numFmtId="10" fontId="0" fillId="3" borderId="0" xfId="1" applyNumberFormat="1" applyFont="1" applyFill="1"/>
    <xf numFmtId="0" fontId="2" fillId="0" borderId="1" xfId="0" applyFont="1" applyBorder="1"/>
    <xf numFmtId="0" fontId="2" fillId="0" borderId="2" xfId="0" applyFont="1" applyBorder="1"/>
    <xf numFmtId="10" fontId="0" fillId="0" borderId="1" xfId="0" applyNumberFormat="1" applyBorder="1"/>
    <xf numFmtId="10" fontId="0" fillId="0" borderId="2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10" fontId="0" fillId="3" borderId="1" xfId="0" applyNumberFormat="1" applyFill="1" applyBorder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0" fontId="8" fillId="4" borderId="0" xfId="0" applyFont="1" applyFill="1"/>
    <xf numFmtId="0" fontId="0" fillId="4" borderId="0" xfId="0" applyFill="1" applyAlignment="1">
      <alignment horizontal="right"/>
    </xf>
    <xf numFmtId="0" fontId="0" fillId="4" borderId="0" xfId="0" applyFill="1"/>
    <xf numFmtId="0" fontId="2" fillId="0" borderId="2" xfId="0" applyFont="1" applyBorder="1" applyAlignment="1">
      <alignment horizontal="right"/>
    </xf>
    <xf numFmtId="0" fontId="0" fillId="5" borderId="0" xfId="0" applyFill="1"/>
    <xf numFmtId="0" fontId="0" fillId="0" borderId="3" xfId="0" applyBorder="1"/>
    <xf numFmtId="0" fontId="9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Continuous"/>
    </xf>
    <xf numFmtId="0" fontId="0" fillId="3" borderId="0" xfId="0" applyFill="1"/>
    <xf numFmtId="9" fontId="0" fillId="3" borderId="0" xfId="1" applyFont="1" applyFill="1"/>
    <xf numFmtId="9" fontId="0" fillId="0" borderId="0" xfId="0" applyNumberFormat="1"/>
    <xf numFmtId="0" fontId="8" fillId="4" borderId="0" xfId="0" applyFont="1" applyFill="1" applyAlignment="1">
      <alignment horizontal="center"/>
    </xf>
    <xf numFmtId="0" fontId="0" fillId="0" borderId="0" xfId="0" applyAlignment="1">
      <alignment horizontal="left"/>
    </xf>
    <xf numFmtId="9" fontId="7" fillId="0" borderId="0" xfId="0" applyNumberFormat="1" applyFont="1"/>
    <xf numFmtId="10" fontId="0" fillId="0" borderId="0" xfId="0" applyNumberFormat="1"/>
    <xf numFmtId="0" fontId="2" fillId="0" borderId="0" xfId="0" applyFont="1" applyAlignment="1">
      <alignment horizontal="left"/>
    </xf>
    <xf numFmtId="4" fontId="0" fillId="0" borderId="1" xfId="0" applyNumberFormat="1" applyBorder="1"/>
    <xf numFmtId="10" fontId="0" fillId="0" borderId="0" xfId="0" applyNumberFormat="1" applyAlignment="1">
      <alignment horizontal="left"/>
    </xf>
    <xf numFmtId="10" fontId="0" fillId="0" borderId="0" xfId="1" applyNumberFormat="1" applyFont="1" applyAlignment="1">
      <alignment horizontal="left"/>
    </xf>
    <xf numFmtId="10" fontId="7" fillId="0" borderId="0" xfId="0" applyNumberFormat="1" applyFont="1" applyAlignment="1">
      <alignment horizontal="left"/>
    </xf>
    <xf numFmtId="10" fontId="0" fillId="0" borderId="1" xfId="1" applyNumberFormat="1" applyFont="1" applyBorder="1"/>
    <xf numFmtId="10" fontId="0" fillId="0" borderId="0" xfId="0" applyNumberFormat="1" applyFont="1"/>
    <xf numFmtId="10" fontId="0" fillId="0" borderId="0" xfId="0" applyNumberFormat="1" applyAlignment="1">
      <alignment horizontal="right"/>
    </xf>
    <xf numFmtId="10" fontId="2" fillId="3" borderId="0" xfId="0" applyNumberFormat="1" applyFont="1" applyFill="1"/>
    <xf numFmtId="10" fontId="0" fillId="3" borderId="0" xfId="0" applyNumberFormat="1" applyFill="1"/>
    <xf numFmtId="166" fontId="10" fillId="0" borderId="0" xfId="1" applyNumberFormat="1" applyFont="1"/>
    <xf numFmtId="0" fontId="2" fillId="3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C0435-113A-4A3B-8605-CE4D5DB304B5}">
  <sheetPr>
    <tabColor rgb="FF002060"/>
  </sheetPr>
  <dimension ref="A1"/>
  <sheetViews>
    <sheetView workbookViewId="0">
      <selection activeCell="I21" sqref="I2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C64D-3A91-49A8-B045-5FD76B85D2EF}">
  <dimension ref="B5:P52"/>
  <sheetViews>
    <sheetView showGridLines="0" tabSelected="1" topLeftCell="A29" zoomScale="110" workbookViewId="0">
      <selection activeCell="B5" sqref="B5:J48"/>
    </sheetView>
  </sheetViews>
  <sheetFormatPr defaultRowHeight="14.4" x14ac:dyDescent="0.3"/>
  <cols>
    <col min="1" max="1" width="1.88671875" customWidth="1"/>
    <col min="2" max="2" width="37.44140625" bestFit="1" customWidth="1"/>
    <col min="3" max="3" width="10.5546875" bestFit="1" customWidth="1"/>
    <col min="4" max="4" width="11.6640625" customWidth="1"/>
    <col min="5" max="5" width="13.109375" customWidth="1"/>
    <col min="6" max="6" width="18" bestFit="1" customWidth="1"/>
    <col min="7" max="7" width="11.5546875" customWidth="1"/>
    <col min="9" max="9" width="11.88671875" customWidth="1"/>
    <col min="10" max="10" width="21.33203125" bestFit="1" customWidth="1"/>
    <col min="11" max="11" width="10" customWidth="1"/>
  </cols>
  <sheetData>
    <row r="5" spans="2:16" ht="15.6" x14ac:dyDescent="0.3">
      <c r="B5" s="5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7" spans="2:16" x14ac:dyDescent="0.3">
      <c r="B7" s="4" t="s">
        <v>1</v>
      </c>
    </row>
    <row r="9" spans="2:16" x14ac:dyDescent="0.3">
      <c r="B9" s="1"/>
    </row>
    <row r="10" spans="2:16" x14ac:dyDescent="0.3">
      <c r="B10" s="2" t="s">
        <v>2</v>
      </c>
    </row>
    <row r="11" spans="2:16" x14ac:dyDescent="0.3">
      <c r="B11" s="6"/>
      <c r="C11" s="17"/>
      <c r="D11" s="17"/>
      <c r="E11" s="17"/>
      <c r="F11" s="17"/>
      <c r="G11" s="17" t="s">
        <v>8</v>
      </c>
      <c r="H11" s="17" t="s">
        <v>8</v>
      </c>
      <c r="I11" s="17" t="s">
        <v>11</v>
      </c>
      <c r="J11" s="17" t="s">
        <v>12</v>
      </c>
    </row>
    <row r="12" spans="2:16" ht="16.2" x14ac:dyDescent="0.3">
      <c r="B12" s="7" t="s">
        <v>3</v>
      </c>
      <c r="C12" s="18" t="s">
        <v>4</v>
      </c>
      <c r="D12" s="18" t="s">
        <v>5</v>
      </c>
      <c r="E12" s="18" t="s">
        <v>6</v>
      </c>
      <c r="F12" s="18" t="s">
        <v>7</v>
      </c>
      <c r="G12" s="18" t="s">
        <v>9</v>
      </c>
      <c r="H12" s="18" t="s">
        <v>10</v>
      </c>
      <c r="I12" s="18" t="s">
        <v>13</v>
      </c>
      <c r="J12" s="18" t="s">
        <v>14</v>
      </c>
    </row>
    <row r="14" spans="2:16" x14ac:dyDescent="0.3">
      <c r="B14" s="8" t="s">
        <v>110</v>
      </c>
      <c r="C14" s="8" t="s">
        <v>15</v>
      </c>
      <c r="D14" s="9">
        <f>'COMPS BETA'!F5</f>
        <v>1609.19</v>
      </c>
      <c r="E14" s="9">
        <f>'COMPS BETA'!E5</f>
        <v>252211.12</v>
      </c>
      <c r="F14" s="10">
        <v>0.3</v>
      </c>
      <c r="G14" s="12">
        <f>D14/E14</f>
        <v>6.3803293050679133E-3</v>
      </c>
      <c r="H14" s="12">
        <f>D14/(D14+E14)</f>
        <v>6.3398787906294813E-3</v>
      </c>
      <c r="I14" s="39">
        <f>'REGRESSION BETA'!J6</f>
        <v>5.2044998754826226E-3</v>
      </c>
      <c r="J14" s="11">
        <f>I14/(1+(1-F14)*G14)</f>
        <v>5.1813587330076282E-3</v>
      </c>
    </row>
    <row r="15" spans="2:16" x14ac:dyDescent="0.3">
      <c r="B15" s="8" t="s">
        <v>111</v>
      </c>
      <c r="C15" s="8" t="s">
        <v>15</v>
      </c>
      <c r="D15" s="9">
        <f>'COMPS BETA'!F6</f>
        <v>3351</v>
      </c>
      <c r="E15" s="9">
        <f>'COMPS BETA'!E6</f>
        <v>224438.21</v>
      </c>
      <c r="F15" s="10">
        <v>0.3</v>
      </c>
      <c r="G15" s="12">
        <f t="shared" ref="G15:G18" si="0">D15/E15</f>
        <v>1.4930612750832401E-2</v>
      </c>
      <c r="H15" s="12">
        <f t="shared" ref="H15:H18" si="1">D15/(D15+E15)</f>
        <v>1.4710968969952528E-2</v>
      </c>
      <c r="I15" s="39">
        <v>0.13500000000000001</v>
      </c>
      <c r="J15" s="11">
        <f t="shared" ref="J15:J18" si="2">I15/(1+(1-F15)*G15)</f>
        <v>0.13360365093802293</v>
      </c>
    </row>
    <row r="16" spans="2:16" x14ac:dyDescent="0.3">
      <c r="B16" s="8" t="s">
        <v>112</v>
      </c>
      <c r="C16" s="8" t="s">
        <v>15</v>
      </c>
      <c r="D16" s="9">
        <f>'COMPS BETA'!F7</f>
        <v>2348.5700000000002</v>
      </c>
      <c r="E16" s="9">
        <f>'COMPS BETA'!E7</f>
        <v>132340.87</v>
      </c>
      <c r="F16" s="10">
        <v>0.3</v>
      </c>
      <c r="G16" s="12">
        <f t="shared" si="0"/>
        <v>1.7746369658896758E-2</v>
      </c>
      <c r="H16" s="12">
        <f t="shared" si="1"/>
        <v>1.7436927497805323E-2</v>
      </c>
      <c r="I16" s="39">
        <v>0.16600000000000001</v>
      </c>
      <c r="J16" s="11">
        <f t="shared" si="2"/>
        <v>0.16396317422977066</v>
      </c>
    </row>
    <row r="17" spans="2:11" x14ac:dyDescent="0.3">
      <c r="B17" s="8" t="s">
        <v>113</v>
      </c>
      <c r="C17" s="8" t="s">
        <v>15</v>
      </c>
      <c r="D17" s="9">
        <f>'COMPS BETA'!F8</f>
        <v>2857.8</v>
      </c>
      <c r="E17" s="9">
        <f>'COMPS BETA'!E8</f>
        <v>90311</v>
      </c>
      <c r="F17" s="10">
        <v>0.3</v>
      </c>
      <c r="G17" s="12">
        <f t="shared" si="0"/>
        <v>3.1643985782462823E-2</v>
      </c>
      <c r="H17" s="12">
        <f t="shared" si="1"/>
        <v>3.0673358463348246E-2</v>
      </c>
      <c r="I17" s="39">
        <v>0.01</v>
      </c>
      <c r="J17" s="11">
        <f t="shared" si="2"/>
        <v>9.7832923452841059E-3</v>
      </c>
    </row>
    <row r="18" spans="2:11" x14ac:dyDescent="0.3">
      <c r="B18" s="8" t="s">
        <v>114</v>
      </c>
      <c r="C18" s="8" t="s">
        <v>15</v>
      </c>
      <c r="D18" s="9">
        <f>'COMPS BETA'!F9</f>
        <v>2491</v>
      </c>
      <c r="E18" s="9">
        <f>'COMPS BETA'!E9</f>
        <v>83223.45</v>
      </c>
      <c r="F18" s="10">
        <v>0.3</v>
      </c>
      <c r="G18" s="12">
        <f t="shared" si="0"/>
        <v>2.9931467633221166E-2</v>
      </c>
      <c r="H18" s="12">
        <f t="shared" si="1"/>
        <v>2.9061610965245652E-2</v>
      </c>
      <c r="I18" s="39">
        <v>0.02</v>
      </c>
      <c r="J18" s="11">
        <f t="shared" si="2"/>
        <v>1.9589559023693272E-2</v>
      </c>
    </row>
    <row r="20" spans="2:11" x14ac:dyDescent="0.3">
      <c r="E20" s="13" t="s">
        <v>16</v>
      </c>
      <c r="F20" s="15">
        <f>AVERAGE(F14:F18)</f>
        <v>0.3</v>
      </c>
      <c r="G20" s="15">
        <f t="shared" ref="G20:J20" si="3">AVERAGE(G14:G18)</f>
        <v>2.012655302609621E-2</v>
      </c>
      <c r="H20" s="15">
        <f t="shared" si="3"/>
        <v>1.9644548937396245E-2</v>
      </c>
      <c r="I20" s="15">
        <f t="shared" si="3"/>
        <v>6.7240899975096538E-2</v>
      </c>
      <c r="J20" s="15">
        <f t="shared" si="3"/>
        <v>6.6424207053955714E-2</v>
      </c>
    </row>
    <row r="21" spans="2:11" x14ac:dyDescent="0.3">
      <c r="E21" s="14" t="s">
        <v>17</v>
      </c>
      <c r="F21" s="16">
        <f>MEDIAN(F14:F18)</f>
        <v>0.3</v>
      </c>
      <c r="G21" s="16">
        <f t="shared" ref="G21:J21" si="4">MEDIAN(G14:G18)</f>
        <v>1.7746369658896758E-2</v>
      </c>
      <c r="H21" s="16">
        <f t="shared" si="4"/>
        <v>1.7436927497805323E-2</v>
      </c>
      <c r="I21" s="16">
        <f t="shared" si="4"/>
        <v>0.02</v>
      </c>
      <c r="J21" s="16">
        <f t="shared" si="4"/>
        <v>1.9589559023693272E-2</v>
      </c>
    </row>
    <row r="24" spans="2:11" x14ac:dyDescent="0.3">
      <c r="B24" s="14" t="s">
        <v>18</v>
      </c>
      <c r="C24" s="14"/>
      <c r="D24" s="14"/>
      <c r="F24" s="14" t="s">
        <v>22</v>
      </c>
      <c r="G24" s="7"/>
      <c r="H24" s="7"/>
      <c r="I24" s="7"/>
      <c r="J24" s="7"/>
    </row>
    <row r="26" spans="2:11" ht="16.8" x14ac:dyDescent="0.4">
      <c r="B26" t="s">
        <v>19</v>
      </c>
      <c r="D26" s="10">
        <f>69/D14</f>
        <v>4.2878715378544485E-2</v>
      </c>
      <c r="F26" t="s">
        <v>23</v>
      </c>
      <c r="J26" s="51">
        <v>6.6879999999999995E-2</v>
      </c>
    </row>
    <row r="27" spans="2:11" x14ac:dyDescent="0.3">
      <c r="B27" t="s">
        <v>20</v>
      </c>
      <c r="D27" s="47">
        <f>J36</f>
        <v>0.3</v>
      </c>
      <c r="F27" t="s">
        <v>24</v>
      </c>
      <c r="J27" s="40">
        <f>'Rm '!F7-WACC!J26</f>
        <v>8.6467999999999989E-2</v>
      </c>
    </row>
    <row r="28" spans="2:11" ht="16.2" x14ac:dyDescent="0.3">
      <c r="B28" s="6" t="s">
        <v>21</v>
      </c>
      <c r="C28" s="6"/>
      <c r="D28" s="19">
        <f>D26*(1-D27)</f>
        <v>3.0015100764981137E-2</v>
      </c>
      <c r="F28" t="s">
        <v>27</v>
      </c>
      <c r="J28" s="40">
        <f>J37</f>
        <v>2.534866493823331E-2</v>
      </c>
    </row>
    <row r="29" spans="2:11" x14ac:dyDescent="0.3">
      <c r="F29" s="6" t="s">
        <v>26</v>
      </c>
      <c r="G29" s="6"/>
      <c r="H29" s="6"/>
      <c r="I29" s="6"/>
      <c r="J29" s="15">
        <f>J26+J27*J28</f>
        <v>6.9071848359879146E-2</v>
      </c>
    </row>
    <row r="32" spans="2:11" x14ac:dyDescent="0.3">
      <c r="B32" s="14" t="s">
        <v>39</v>
      </c>
      <c r="C32" s="7"/>
      <c r="D32" s="7"/>
      <c r="F32" s="14" t="s">
        <v>25</v>
      </c>
      <c r="G32" s="14"/>
      <c r="H32" s="7"/>
      <c r="I32" s="7"/>
      <c r="J32" s="7"/>
      <c r="K32" s="1"/>
    </row>
    <row r="34" spans="2:11" x14ac:dyDescent="0.3">
      <c r="D34" s="20" t="s">
        <v>28</v>
      </c>
      <c r="E34" s="41" t="s">
        <v>29</v>
      </c>
      <c r="F34" t="s">
        <v>34</v>
      </c>
      <c r="J34" s="40">
        <v>1.9589559023693272E-2</v>
      </c>
      <c r="K34" s="40"/>
    </row>
    <row r="35" spans="2:11" x14ac:dyDescent="0.3">
      <c r="B35" t="s">
        <v>30</v>
      </c>
      <c r="C35" s="9">
        <f>D14</f>
        <v>1609.19</v>
      </c>
      <c r="D35" s="24">
        <f>C35/$C$37</f>
        <v>6.3398787906294813E-3</v>
      </c>
      <c r="E35" s="45">
        <f>H20</f>
        <v>1.9644548937396245E-2</v>
      </c>
      <c r="F35" t="s">
        <v>35</v>
      </c>
      <c r="J35" s="40">
        <f>E41</f>
        <v>2.0038190144302852E-2</v>
      </c>
    </row>
    <row r="36" spans="2:11" x14ac:dyDescent="0.3">
      <c r="B36" t="s">
        <v>31</v>
      </c>
      <c r="C36" s="9">
        <f>E14</f>
        <v>252211.12</v>
      </c>
      <c r="D36" s="24">
        <f t="shared" ref="D36:E37" si="5">C36/$C$37</f>
        <v>0.99366012120937053</v>
      </c>
      <c r="E36" s="43">
        <f>E37-E35</f>
        <v>0.9803554510626038</v>
      </c>
      <c r="F36" t="s">
        <v>36</v>
      </c>
      <c r="J36" s="40">
        <f>F14</f>
        <v>0.3</v>
      </c>
    </row>
    <row r="37" spans="2:11" x14ac:dyDescent="0.3">
      <c r="B37" s="6" t="s">
        <v>32</v>
      </c>
      <c r="C37" s="42">
        <f>SUM(C35:C36)</f>
        <v>253820.31</v>
      </c>
      <c r="D37" s="24">
        <f t="shared" si="5"/>
        <v>1</v>
      </c>
      <c r="E37" s="44">
        <v>1</v>
      </c>
      <c r="F37" s="6" t="s">
        <v>33</v>
      </c>
      <c r="G37" s="6"/>
      <c r="H37" s="6"/>
      <c r="I37" s="6"/>
      <c r="J37" s="46">
        <f>J34*(1+(1-J35)*J36)</f>
        <v>2.534866493823331E-2</v>
      </c>
    </row>
    <row r="40" spans="2:11" x14ac:dyDescent="0.3">
      <c r="F40" s="14" t="s">
        <v>38</v>
      </c>
      <c r="G40" s="14"/>
      <c r="H40" s="14"/>
      <c r="I40" s="14"/>
      <c r="J40" s="7"/>
    </row>
    <row r="41" spans="2:11" x14ac:dyDescent="0.3">
      <c r="B41" s="1" t="s">
        <v>37</v>
      </c>
      <c r="C41" s="24"/>
      <c r="D41" s="24">
        <f>D35/D36</f>
        <v>6.3803293050679133E-3</v>
      </c>
      <c r="E41" s="44">
        <f>E35/E36</f>
        <v>2.0038190144302852E-2</v>
      </c>
    </row>
    <row r="42" spans="2:11" x14ac:dyDescent="0.3">
      <c r="F42" t="s">
        <v>26</v>
      </c>
      <c r="J42" s="40">
        <f>J29</f>
        <v>6.9071848359879146E-2</v>
      </c>
    </row>
    <row r="43" spans="2:11" x14ac:dyDescent="0.3">
      <c r="F43" t="s">
        <v>122</v>
      </c>
      <c r="J43" s="40">
        <f>E36</f>
        <v>0.9803554510626038</v>
      </c>
    </row>
    <row r="45" spans="2:11" x14ac:dyDescent="0.3">
      <c r="F45" t="s">
        <v>123</v>
      </c>
      <c r="J45" s="40">
        <f>D28</f>
        <v>3.0015100764981137E-2</v>
      </c>
    </row>
    <row r="46" spans="2:11" x14ac:dyDescent="0.3">
      <c r="F46" t="s">
        <v>124</v>
      </c>
      <c r="J46" s="40">
        <f>E35</f>
        <v>1.9644548937396245E-2</v>
      </c>
    </row>
    <row r="48" spans="2:11" x14ac:dyDescent="0.3">
      <c r="E48" s="1"/>
      <c r="F48" s="52" t="s">
        <v>125</v>
      </c>
      <c r="G48" s="52"/>
      <c r="H48" s="52"/>
      <c r="I48" s="52"/>
      <c r="J48" s="49">
        <f>(J42*J43)+(J45*J46)</f>
        <v>6.8304596170415649E-2</v>
      </c>
    </row>
    <row r="52" spans="10:10" x14ac:dyDescent="0.3">
      <c r="J5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566A-E130-4DF5-AFAF-64FFA5CAFACB}">
  <sheetPr>
    <tabColor rgb="FF002060"/>
  </sheetPr>
  <dimension ref="A1"/>
  <sheetViews>
    <sheetView workbookViewId="0">
      <selection activeCell="H22" sqref="H22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E80A-F92C-4F76-9225-CD5923358FF5}">
  <dimension ref="B2:Z32"/>
  <sheetViews>
    <sheetView showGridLines="0" topLeftCell="A2" zoomScale="106" workbookViewId="0">
      <selection activeCell="O16" sqref="O16"/>
    </sheetView>
  </sheetViews>
  <sheetFormatPr defaultRowHeight="14.4" x14ac:dyDescent="0.3"/>
  <cols>
    <col min="1" max="1" width="1.88671875" customWidth="1"/>
    <col min="2" max="2" width="13.5546875" customWidth="1"/>
    <col min="3" max="3" width="11" style="21" customWidth="1"/>
    <col min="4" max="4" width="13.21875" customWidth="1"/>
    <col min="6" max="6" width="17.77734375" customWidth="1"/>
    <col min="7" max="7" width="9.88671875" customWidth="1"/>
    <col min="8" max="8" width="9.109375" customWidth="1"/>
    <col min="9" max="9" width="16.33203125" customWidth="1"/>
    <col min="10" max="10" width="22" bestFit="1" customWidth="1"/>
  </cols>
  <sheetData>
    <row r="2" spans="2:19" x14ac:dyDescent="0.3">
      <c r="B2" s="1" t="s">
        <v>40</v>
      </c>
    </row>
    <row r="4" spans="2:19" x14ac:dyDescent="0.3">
      <c r="B4" s="26" t="s">
        <v>68</v>
      </c>
      <c r="C4" s="27"/>
      <c r="D4" s="28"/>
      <c r="F4" s="37" t="s">
        <v>70</v>
      </c>
      <c r="G4" s="37"/>
      <c r="H4" s="30"/>
      <c r="I4" s="37" t="s">
        <v>97</v>
      </c>
      <c r="J4" s="37"/>
    </row>
    <row r="5" spans="2:19" x14ac:dyDescent="0.3">
      <c r="B5" s="1"/>
    </row>
    <row r="6" spans="2:19" x14ac:dyDescent="0.3">
      <c r="B6" s="14" t="s">
        <v>41</v>
      </c>
      <c r="C6" s="14" t="s">
        <v>67</v>
      </c>
      <c r="D6" s="29" t="s">
        <v>69</v>
      </c>
      <c r="F6" s="20" t="s">
        <v>67</v>
      </c>
      <c r="G6" s="20" t="s">
        <v>69</v>
      </c>
      <c r="I6" t="s">
        <v>98</v>
      </c>
      <c r="J6" s="11">
        <f>S9</f>
        <v>5.2044998754826226E-3</v>
      </c>
    </row>
    <row r="7" spans="2:19" x14ac:dyDescent="0.3">
      <c r="B7" s="23" t="s">
        <v>42</v>
      </c>
      <c r="C7" s="22">
        <v>3897.6</v>
      </c>
      <c r="F7" s="25">
        <v>14529.15</v>
      </c>
      <c r="I7" t="s">
        <v>99</v>
      </c>
      <c r="J7" s="11">
        <v>0.75</v>
      </c>
    </row>
    <row r="8" spans="2:19" x14ac:dyDescent="0.3">
      <c r="B8" s="23" t="s">
        <v>43</v>
      </c>
      <c r="C8" s="22">
        <v>3847.6</v>
      </c>
      <c r="D8" s="24">
        <f>C8/C7-1</f>
        <v>-1.2828407224958926E-2</v>
      </c>
      <c r="F8" s="25">
        <v>14938.1</v>
      </c>
      <c r="G8" s="24">
        <f>F8/F7-1</f>
        <v>2.8146863374663988E-2</v>
      </c>
      <c r="J8" s="11"/>
    </row>
    <row r="9" spans="2:19" x14ac:dyDescent="0.3">
      <c r="B9" s="23" t="s">
        <v>44</v>
      </c>
      <c r="C9" s="22">
        <v>3689.5</v>
      </c>
      <c r="D9" s="24">
        <f t="shared" ref="D9:D31" si="0">C9/C8-1</f>
        <v>-4.1090549953217592E-2</v>
      </c>
      <c r="F9" s="25">
        <v>15030.95</v>
      </c>
      <c r="G9" s="24">
        <f t="shared" ref="G9:G31" si="1">F9/F8-1</f>
        <v>6.2156499153172007E-3</v>
      </c>
      <c r="I9" t="s">
        <v>101</v>
      </c>
      <c r="J9" s="36">
        <v>0.01</v>
      </c>
      <c r="R9" s="34" t="s">
        <v>96</v>
      </c>
      <c r="S9" s="35">
        <f>S30</f>
        <v>5.2044998754826226E-3</v>
      </c>
    </row>
    <row r="10" spans="2:19" x14ac:dyDescent="0.3">
      <c r="B10" s="23" t="s">
        <v>45</v>
      </c>
      <c r="C10" s="22">
        <v>3782.2</v>
      </c>
      <c r="D10" s="24">
        <f t="shared" si="0"/>
        <v>2.5125355739260113E-2</v>
      </c>
      <c r="F10" s="25">
        <v>14744</v>
      </c>
      <c r="G10" s="24">
        <f t="shared" si="1"/>
        <v>-1.9090609708634521E-2</v>
      </c>
      <c r="I10" t="s">
        <v>100</v>
      </c>
      <c r="J10" s="11">
        <v>0.25</v>
      </c>
    </row>
    <row r="11" spans="2:19" x14ac:dyDescent="0.3">
      <c r="B11" s="23" t="s">
        <v>46</v>
      </c>
      <c r="C11" s="22">
        <v>3996.5</v>
      </c>
      <c r="D11" s="24">
        <f t="shared" si="0"/>
        <v>5.6660144889217889E-2</v>
      </c>
      <c r="F11" s="25">
        <v>14507.3</v>
      </c>
      <c r="G11" s="24">
        <f t="shared" si="1"/>
        <v>-1.6053988062940894E-2</v>
      </c>
    </row>
    <row r="12" spans="2:19" x14ac:dyDescent="0.3">
      <c r="B12" s="23" t="s">
        <v>47</v>
      </c>
      <c r="C12" s="22">
        <v>4153.5</v>
      </c>
      <c r="D12" s="24">
        <f t="shared" si="0"/>
        <v>3.9284373827098706E-2</v>
      </c>
      <c r="F12" s="25">
        <v>14826</v>
      </c>
      <c r="G12" s="24">
        <f t="shared" si="1"/>
        <v>2.1968250467006234E-2</v>
      </c>
      <c r="I12" s="34" t="s">
        <v>102</v>
      </c>
      <c r="J12" s="35">
        <f>(J6*J7)+(J9*J10)</f>
        <v>6.4033749066119677E-3</v>
      </c>
    </row>
    <row r="13" spans="2:19" x14ac:dyDescent="0.3">
      <c r="B13" s="23" t="s">
        <v>48</v>
      </c>
      <c r="C13" s="22">
        <v>4475.3999999999996</v>
      </c>
      <c r="D13" s="24">
        <f t="shared" si="0"/>
        <v>7.7500902853015363E-2</v>
      </c>
      <c r="F13" s="25">
        <v>14823.33</v>
      </c>
      <c r="G13" s="24">
        <f t="shared" si="1"/>
        <v>-1.8008903278021737E-4</v>
      </c>
      <c r="R13" t="s">
        <v>71</v>
      </c>
    </row>
    <row r="14" spans="2:19" ht="15" thickBot="1" x14ac:dyDescent="0.35">
      <c r="B14" s="23" t="s">
        <v>49</v>
      </c>
      <c r="C14" s="22">
        <v>4756.6000000000004</v>
      </c>
      <c r="D14" s="24">
        <f t="shared" si="0"/>
        <v>6.2832372525361002E-2</v>
      </c>
      <c r="F14" s="25">
        <v>15489.33</v>
      </c>
      <c r="G14" s="24">
        <f t="shared" si="1"/>
        <v>4.4929175832960633E-2</v>
      </c>
    </row>
    <row r="15" spans="2:19" x14ac:dyDescent="0.3">
      <c r="B15" s="23" t="s">
        <v>50</v>
      </c>
      <c r="C15" s="22">
        <v>4267.3999999999996</v>
      </c>
      <c r="D15" s="24">
        <f t="shared" si="0"/>
        <v>-0.10284657108018347</v>
      </c>
      <c r="F15" s="25">
        <v>14785.2</v>
      </c>
      <c r="G15" s="24">
        <f t="shared" si="1"/>
        <v>-4.5459035348849763E-2</v>
      </c>
      <c r="R15" s="33" t="s">
        <v>72</v>
      </c>
      <c r="S15" s="33"/>
    </row>
    <row r="16" spans="2:19" x14ac:dyDescent="0.3">
      <c r="B16" s="23" t="s">
        <v>51</v>
      </c>
      <c r="C16" s="22">
        <v>4372.3</v>
      </c>
      <c r="D16" s="24">
        <f t="shared" si="0"/>
        <v>2.4581712518161103E-2</v>
      </c>
      <c r="F16" s="25">
        <v>12584.3</v>
      </c>
      <c r="G16" s="24">
        <f t="shared" si="1"/>
        <v>-0.14885831777723679</v>
      </c>
      <c r="R16" t="s">
        <v>73</v>
      </c>
      <c r="S16">
        <v>1.7191231389196895E-2</v>
      </c>
    </row>
    <row r="17" spans="2:26" x14ac:dyDescent="0.3">
      <c r="B17" s="23" t="s">
        <v>52</v>
      </c>
      <c r="C17" s="22">
        <v>4002.1</v>
      </c>
      <c r="D17" s="24">
        <f t="shared" si="0"/>
        <v>-8.4669395970084493E-2</v>
      </c>
      <c r="F17" s="25">
        <v>11446.2</v>
      </c>
      <c r="G17" s="24">
        <f t="shared" si="1"/>
        <v>-9.0438085551043601E-2</v>
      </c>
      <c r="R17" t="s">
        <v>74</v>
      </c>
      <c r="S17">
        <v>2.9553843667690858E-4</v>
      </c>
    </row>
    <row r="18" spans="2:26" x14ac:dyDescent="0.3">
      <c r="B18" s="23" t="s">
        <v>53</v>
      </c>
      <c r="C18" s="22">
        <v>4199.8999999999996</v>
      </c>
      <c r="D18" s="24">
        <f t="shared" si="0"/>
        <v>4.9424052372504468E-2</v>
      </c>
      <c r="F18" s="25">
        <v>12553.5</v>
      </c>
      <c r="G18" s="24">
        <f t="shared" si="1"/>
        <v>9.6739529276091529E-2</v>
      </c>
      <c r="R18" t="s">
        <v>75</v>
      </c>
      <c r="S18">
        <v>-4.5145573452565049E-2</v>
      </c>
    </row>
    <row r="19" spans="2:26" x14ac:dyDescent="0.3">
      <c r="B19" s="23" t="s">
        <v>54</v>
      </c>
      <c r="C19" s="22">
        <v>4083.2</v>
      </c>
      <c r="D19" s="24">
        <f t="shared" si="0"/>
        <v>-2.7786375866092006E-2</v>
      </c>
      <c r="F19" s="25">
        <v>11554.8</v>
      </c>
      <c r="G19" s="24">
        <f t="shared" si="1"/>
        <v>-7.9555502449516147E-2</v>
      </c>
      <c r="R19" t="s">
        <v>76</v>
      </c>
      <c r="S19">
        <v>8.9838073783577652E-2</v>
      </c>
    </row>
    <row r="20" spans="2:26" ht="15" thickBot="1" x14ac:dyDescent="0.35">
      <c r="B20" s="23" t="s">
        <v>55</v>
      </c>
      <c r="C20" s="22">
        <v>3403.95</v>
      </c>
      <c r="D20" s="24">
        <f t="shared" si="0"/>
        <v>-0.16635237068965514</v>
      </c>
      <c r="F20" s="25">
        <v>14856</v>
      </c>
      <c r="G20" s="24">
        <f t="shared" si="1"/>
        <v>0.28569944957939564</v>
      </c>
      <c r="R20" s="31" t="s">
        <v>77</v>
      </c>
      <c r="S20" s="31">
        <v>24</v>
      </c>
    </row>
    <row r="21" spans="2:26" x14ac:dyDescent="0.3">
      <c r="B21" s="23" t="s">
        <v>56</v>
      </c>
      <c r="C21" s="22">
        <v>3664.65</v>
      </c>
      <c r="D21" s="24">
        <f t="shared" si="0"/>
        <v>7.6587493940862839E-2</v>
      </c>
      <c r="F21" s="25">
        <v>14785.55</v>
      </c>
      <c r="G21" s="24">
        <f t="shared" si="1"/>
        <v>-4.7421917070544772E-3</v>
      </c>
    </row>
    <row r="22" spans="2:26" ht="15" thickBot="1" x14ac:dyDescent="0.35">
      <c r="B22" s="23" t="s">
        <v>57</v>
      </c>
      <c r="C22" s="22">
        <v>3616.85</v>
      </c>
      <c r="D22" s="24">
        <f t="shared" si="0"/>
        <v>-1.3043537582033804E-2</v>
      </c>
      <c r="F22" s="25">
        <v>14444.4</v>
      </c>
      <c r="G22" s="24">
        <f t="shared" si="1"/>
        <v>-2.307320322882811E-2</v>
      </c>
      <c r="R22" t="s">
        <v>78</v>
      </c>
    </row>
    <row r="23" spans="2:26" x14ac:dyDescent="0.3">
      <c r="B23" s="23" t="s">
        <v>58</v>
      </c>
      <c r="C23" s="22">
        <v>3709.6</v>
      </c>
      <c r="D23" s="24">
        <f t="shared" si="0"/>
        <v>2.5643861371082544E-2</v>
      </c>
      <c r="F23" s="25">
        <v>12222.2</v>
      </c>
      <c r="G23" s="24">
        <f t="shared" si="1"/>
        <v>-0.15384508875411917</v>
      </c>
      <c r="R23" s="32"/>
      <c r="S23" s="32" t="s">
        <v>83</v>
      </c>
      <c r="T23" s="32" t="s">
        <v>84</v>
      </c>
      <c r="U23" s="32" t="s">
        <v>85</v>
      </c>
      <c r="V23" s="32" t="s">
        <v>86</v>
      </c>
      <c r="W23" s="32" t="s">
        <v>87</v>
      </c>
    </row>
    <row r="24" spans="2:26" x14ac:dyDescent="0.3">
      <c r="B24" s="23" t="s">
        <v>59</v>
      </c>
      <c r="C24" s="22">
        <v>3930.7</v>
      </c>
      <c r="D24" s="24">
        <f>C24/C23-1</f>
        <v>5.9602113435410775E-2</v>
      </c>
      <c r="F24" s="25">
        <v>14445.2</v>
      </c>
      <c r="G24" s="24">
        <f>F24/F23-1</f>
        <v>0.18188214887663423</v>
      </c>
      <c r="R24" t="s">
        <v>79</v>
      </c>
      <c r="S24">
        <v>1</v>
      </c>
      <c r="T24">
        <v>5.2491125573456143E-5</v>
      </c>
      <c r="U24">
        <v>5.2491125573456143E-5</v>
      </c>
      <c r="V24">
        <v>6.5037677202365377E-3</v>
      </c>
      <c r="W24">
        <v>0.93645268384396596</v>
      </c>
    </row>
    <row r="25" spans="2:26" x14ac:dyDescent="0.3">
      <c r="B25" s="23" t="s">
        <v>60</v>
      </c>
      <c r="C25" s="22">
        <v>5096.3</v>
      </c>
      <c r="D25" s="24">
        <f t="shared" si="0"/>
        <v>0.29653751240237125</v>
      </c>
      <c r="F25" s="25">
        <v>14523.2</v>
      </c>
      <c r="G25" s="24">
        <f t="shared" si="1"/>
        <v>5.3997175532356501E-3</v>
      </c>
      <c r="R25" t="s">
        <v>80</v>
      </c>
      <c r="S25">
        <v>22</v>
      </c>
      <c r="T25">
        <v>0.17755934902515794</v>
      </c>
      <c r="U25">
        <v>8.0708795011435429E-3</v>
      </c>
    </row>
    <row r="26" spans="2:26" ht="15" thickBot="1" x14ac:dyDescent="0.35">
      <c r="B26" s="23" t="s">
        <v>61</v>
      </c>
      <c r="C26" s="22">
        <v>4927.45</v>
      </c>
      <c r="D26" s="24">
        <f t="shared" si="0"/>
        <v>-3.3131879991366353E-2</v>
      </c>
      <c r="F26" s="25">
        <v>25896.33</v>
      </c>
      <c r="G26" s="24">
        <f t="shared" si="1"/>
        <v>0.78310083177261203</v>
      </c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31" t="s">
        <v>81</v>
      </c>
      <c r="S26" s="31">
        <v>23</v>
      </c>
      <c r="T26" s="31">
        <v>0.17761184015073139</v>
      </c>
      <c r="U26" s="31"/>
      <c r="V26" s="31"/>
      <c r="W26" s="31"/>
    </row>
    <row r="27" spans="2:26" ht="15" thickBot="1" x14ac:dyDescent="0.35">
      <c r="B27" s="23" t="s">
        <v>62</v>
      </c>
      <c r="C27" s="22">
        <v>4935.95</v>
      </c>
      <c r="D27" s="24">
        <f t="shared" si="0"/>
        <v>1.7250301880282759E-3</v>
      </c>
      <c r="F27" s="25">
        <v>47895.33</v>
      </c>
      <c r="G27" s="24">
        <f t="shared" si="1"/>
        <v>0.84950261291850993</v>
      </c>
      <c r="H27" s="25"/>
      <c r="I27" s="25"/>
      <c r="J27" s="25"/>
      <c r="K27" s="25"/>
      <c r="L27" s="25"/>
      <c r="M27" s="25"/>
      <c r="N27" s="25"/>
      <c r="O27" s="25"/>
      <c r="P27" s="25"/>
      <c r="Q27" s="25"/>
    </row>
    <row r="28" spans="2:26" x14ac:dyDescent="0.3">
      <c r="B28" s="23" t="s">
        <v>63</v>
      </c>
      <c r="C28" s="22">
        <v>4716.75</v>
      </c>
      <c r="D28" s="24">
        <f t="shared" si="0"/>
        <v>-4.4408877723639772E-2</v>
      </c>
      <c r="F28" s="25">
        <v>25897.55</v>
      </c>
      <c r="G28" s="24">
        <f t="shared" si="1"/>
        <v>-0.4592886195794037</v>
      </c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32"/>
      <c r="S28" s="32" t="s">
        <v>88</v>
      </c>
      <c r="T28" s="32" t="s">
        <v>76</v>
      </c>
      <c r="U28" s="32" t="s">
        <v>89</v>
      </c>
      <c r="V28" s="32" t="s">
        <v>90</v>
      </c>
      <c r="W28" s="32" t="s">
        <v>91</v>
      </c>
      <c r="X28" s="32" t="s">
        <v>92</v>
      </c>
      <c r="Y28" s="32" t="s">
        <v>93</v>
      </c>
      <c r="Z28" s="32" t="s">
        <v>94</v>
      </c>
    </row>
    <row r="29" spans="2:26" x14ac:dyDescent="0.3">
      <c r="B29" s="23" t="s">
        <v>64</v>
      </c>
      <c r="C29" s="22">
        <v>4302.1499999999996</v>
      </c>
      <c r="D29" s="24">
        <f t="shared" si="0"/>
        <v>-8.7899507075846817E-2</v>
      </c>
      <c r="F29" s="25">
        <v>13556.2</v>
      </c>
      <c r="G29" s="24">
        <f t="shared" si="1"/>
        <v>-0.47654507858851514</v>
      </c>
      <c r="H29" s="25"/>
      <c r="I29" s="25"/>
      <c r="J29" s="25"/>
      <c r="K29" s="25"/>
      <c r="L29" s="25"/>
      <c r="M29" s="25"/>
      <c r="N29" s="25"/>
      <c r="O29" s="25"/>
      <c r="P29" s="25"/>
      <c r="Q29" s="25"/>
      <c r="R29" t="s">
        <v>82</v>
      </c>
      <c r="S29">
        <v>1.048043157893901E-2</v>
      </c>
      <c r="T29">
        <v>1.8502871721198719E-2</v>
      </c>
      <c r="U29">
        <v>0.56642189044263824</v>
      </c>
      <c r="V29">
        <v>0.57684033393784517</v>
      </c>
      <c r="W29">
        <v>-2.7892175762538021E-2</v>
      </c>
      <c r="X29">
        <v>4.8853038920416036E-2</v>
      </c>
      <c r="Y29">
        <v>-2.7892175762538021E-2</v>
      </c>
      <c r="Z29">
        <v>4.8853038920416036E-2</v>
      </c>
    </row>
    <row r="30" spans="2:26" ht="15" thickBot="1" x14ac:dyDescent="0.35">
      <c r="B30" s="23" t="s">
        <v>65</v>
      </c>
      <c r="C30" s="22">
        <v>4603.8</v>
      </c>
      <c r="D30" s="24">
        <f t="shared" si="0"/>
        <v>7.0116104738328744E-2</v>
      </c>
      <c r="F30" s="25">
        <v>14222.2</v>
      </c>
      <c r="G30" s="24">
        <f t="shared" si="1"/>
        <v>4.9128811908942138E-2</v>
      </c>
      <c r="R30" s="31" t="s">
        <v>95</v>
      </c>
      <c r="S30" s="31">
        <v>5.2044998754826226E-3</v>
      </c>
      <c r="T30" s="31">
        <v>6.4535174898734393E-2</v>
      </c>
      <c r="U30" s="31">
        <v>8.0645940506852004E-2</v>
      </c>
      <c r="V30" s="31">
        <v>0.93645268384397495</v>
      </c>
      <c r="W30" s="31">
        <v>-0.12863326127947855</v>
      </c>
      <c r="X30" s="31">
        <v>0.13904226103044381</v>
      </c>
      <c r="Y30" s="31">
        <v>-0.12863326127947855</v>
      </c>
      <c r="Z30" s="31">
        <v>0.13904226103044381</v>
      </c>
    </row>
    <row r="31" spans="2:26" x14ac:dyDescent="0.3">
      <c r="B31" s="23" t="s">
        <v>66</v>
      </c>
      <c r="C31" s="22">
        <v>4625.6000000000004</v>
      </c>
      <c r="D31" s="24">
        <f t="shared" si="0"/>
        <v>4.7352187323514983E-3</v>
      </c>
      <c r="F31" s="25">
        <v>15368.9</v>
      </c>
      <c r="G31" s="24">
        <f t="shared" si="1"/>
        <v>8.0627469730421453E-2</v>
      </c>
    </row>
    <row r="32" spans="2:26" x14ac:dyDescent="0.3">
      <c r="C32" s="22"/>
    </row>
  </sheetData>
  <mergeCells count="2">
    <mergeCell ref="F4:G4"/>
    <mergeCell ref="I4:J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97AC-455B-4D52-B927-ADF768E8A5E9}">
  <dimension ref="B4:G19"/>
  <sheetViews>
    <sheetView showGridLines="0" workbookViewId="0">
      <selection activeCell="G13" sqref="G13"/>
    </sheetView>
  </sheetViews>
  <sheetFormatPr defaultRowHeight="14.4" x14ac:dyDescent="0.3"/>
  <cols>
    <col min="1" max="1" width="1.88671875" customWidth="1"/>
    <col min="2" max="2" width="5.44140625" bestFit="1" customWidth="1"/>
    <col min="3" max="3" width="15.33203125" bestFit="1" customWidth="1"/>
    <col min="4" max="4" width="7.6640625" bestFit="1" customWidth="1"/>
    <col min="5" max="5" width="13.6640625" bestFit="1" customWidth="1"/>
    <col min="6" max="6" width="10.109375" bestFit="1" customWidth="1"/>
    <col min="7" max="7" width="8.5546875" bestFit="1" customWidth="1"/>
    <col min="17" max="17" width="5.44140625" bestFit="1" customWidth="1"/>
    <col min="18" max="18" width="15.33203125" bestFit="1" customWidth="1"/>
    <col min="19" max="19" width="7.6640625" bestFit="1" customWidth="1"/>
    <col min="20" max="20" width="13.6640625" bestFit="1" customWidth="1"/>
    <col min="21" max="21" width="10.109375" bestFit="1" customWidth="1"/>
    <col min="22" max="22" width="8.5546875" bestFit="1" customWidth="1"/>
  </cols>
  <sheetData>
    <row r="4" spans="2:7" x14ac:dyDescent="0.3">
      <c r="B4" s="38" t="s">
        <v>104</v>
      </c>
      <c r="C4" t="s">
        <v>105</v>
      </c>
      <c r="D4" t="s">
        <v>106</v>
      </c>
      <c r="E4" t="s">
        <v>107</v>
      </c>
      <c r="F4" t="s">
        <v>108</v>
      </c>
      <c r="G4" t="s">
        <v>109</v>
      </c>
    </row>
    <row r="5" spans="2:7" x14ac:dyDescent="0.3">
      <c r="B5" s="38">
        <v>1</v>
      </c>
      <c r="C5" t="s">
        <v>110</v>
      </c>
      <c r="D5">
        <v>3875.8</v>
      </c>
      <c r="E5">
        <v>252211.12</v>
      </c>
      <c r="F5">
        <v>1609.19</v>
      </c>
      <c r="G5">
        <v>7.0000000000000007E-2</v>
      </c>
    </row>
    <row r="6" spans="2:7" x14ac:dyDescent="0.3">
      <c r="B6" s="38">
        <v>2</v>
      </c>
      <c r="C6" t="s">
        <v>111</v>
      </c>
      <c r="D6">
        <v>232.57</v>
      </c>
      <c r="E6">
        <v>224438.21</v>
      </c>
      <c r="F6">
        <v>3351</v>
      </c>
      <c r="G6">
        <v>0.11</v>
      </c>
    </row>
    <row r="7" spans="2:7" x14ac:dyDescent="0.3">
      <c r="B7" s="38">
        <v>3</v>
      </c>
      <c r="C7" t="s">
        <v>112</v>
      </c>
      <c r="D7">
        <v>3722.8</v>
      </c>
      <c r="E7">
        <v>132340.87</v>
      </c>
      <c r="F7">
        <v>2348.5700000000002</v>
      </c>
      <c r="G7">
        <v>0.38</v>
      </c>
    </row>
    <row r="8" spans="2:7" x14ac:dyDescent="0.3">
      <c r="B8" s="38">
        <v>4</v>
      </c>
      <c r="C8" t="s">
        <v>113</v>
      </c>
      <c r="D8">
        <v>520.1</v>
      </c>
      <c r="E8">
        <v>90311</v>
      </c>
      <c r="F8">
        <v>2857.8</v>
      </c>
      <c r="G8">
        <v>0.45</v>
      </c>
    </row>
    <row r="9" spans="2:7" x14ac:dyDescent="0.3">
      <c r="B9" s="38">
        <v>5</v>
      </c>
      <c r="C9" t="s">
        <v>114</v>
      </c>
      <c r="D9">
        <v>301.5</v>
      </c>
      <c r="E9">
        <v>83223.45</v>
      </c>
      <c r="F9">
        <v>2491</v>
      </c>
      <c r="G9">
        <v>0.25</v>
      </c>
    </row>
    <row r="10" spans="2:7" x14ac:dyDescent="0.3">
      <c r="B10" s="38"/>
    </row>
    <row r="11" spans="2:7" x14ac:dyDescent="0.3">
      <c r="B11" s="38"/>
    </row>
    <row r="12" spans="2:7" x14ac:dyDescent="0.3">
      <c r="B12" s="38"/>
    </row>
    <row r="13" spans="2:7" x14ac:dyDescent="0.3">
      <c r="B13" s="38"/>
    </row>
    <row r="14" spans="2:7" x14ac:dyDescent="0.3">
      <c r="B14" s="38"/>
    </row>
    <row r="15" spans="2:7" x14ac:dyDescent="0.3">
      <c r="B15" s="38"/>
    </row>
    <row r="16" spans="2:7" x14ac:dyDescent="0.3">
      <c r="B16" s="38"/>
    </row>
    <row r="17" spans="2:2" x14ac:dyDescent="0.3">
      <c r="B17" s="38"/>
    </row>
    <row r="18" spans="2:2" x14ac:dyDescent="0.3">
      <c r="B18" s="38"/>
    </row>
    <row r="19" spans="2:2" x14ac:dyDescent="0.3">
      <c r="B19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B8DA2-C9BD-4E82-8291-DA18783BEB42}">
  <dimension ref="B2:O29"/>
  <sheetViews>
    <sheetView showGridLines="0" workbookViewId="0">
      <selection activeCell="H13" sqref="H13"/>
    </sheetView>
  </sheetViews>
  <sheetFormatPr defaultRowHeight="14.4" x14ac:dyDescent="0.3"/>
  <cols>
    <col min="1" max="1" width="1.88671875" customWidth="1"/>
    <col min="2" max="2" width="8.88671875" style="38"/>
    <col min="5" max="5" width="18.6640625" bestFit="1" customWidth="1"/>
  </cols>
  <sheetData>
    <row r="2" spans="2:15" x14ac:dyDescent="0.3">
      <c r="B2" s="41" t="s">
        <v>117</v>
      </c>
    </row>
    <row r="4" spans="2:15" x14ac:dyDescent="0.3">
      <c r="B4" s="41" t="s">
        <v>115</v>
      </c>
      <c r="C4" s="20" t="s">
        <v>116</v>
      </c>
    </row>
    <row r="5" spans="2:15" x14ac:dyDescent="0.3">
      <c r="B5" s="38">
        <v>2000</v>
      </c>
      <c r="C5" s="48">
        <v>-0.14649999999999999</v>
      </c>
      <c r="D5" s="40"/>
      <c r="E5" s="40" t="s">
        <v>118</v>
      </c>
      <c r="F5" s="40">
        <f>AVERAGE(C5:C29)</f>
        <v>0.15334799999999998</v>
      </c>
      <c r="G5" s="40"/>
      <c r="H5" s="40"/>
      <c r="I5" s="40"/>
      <c r="J5" s="40"/>
      <c r="K5" s="40"/>
      <c r="L5" s="40"/>
      <c r="M5" s="40"/>
      <c r="N5" s="40"/>
      <c r="O5" s="40"/>
    </row>
    <row r="6" spans="2:15" ht="16.2" x14ac:dyDescent="0.3">
      <c r="B6" s="38">
        <v>2001</v>
      </c>
      <c r="C6" s="48">
        <v>-0.1618</v>
      </c>
      <c r="D6" s="40"/>
      <c r="E6" s="40" t="s">
        <v>119</v>
      </c>
      <c r="F6" s="40" t="s">
        <v>120</v>
      </c>
      <c r="G6" s="40"/>
      <c r="H6" s="40"/>
      <c r="I6" s="40"/>
      <c r="J6" s="40"/>
      <c r="K6" s="40"/>
      <c r="L6" s="40"/>
      <c r="M6" s="40"/>
      <c r="N6" s="40"/>
      <c r="O6" s="40"/>
    </row>
    <row r="7" spans="2:15" x14ac:dyDescent="0.3">
      <c r="B7" s="38">
        <v>2002</v>
      </c>
      <c r="C7" s="48">
        <v>3.2500000000000001E-2</v>
      </c>
      <c r="D7" s="40"/>
      <c r="E7" s="49" t="s">
        <v>121</v>
      </c>
      <c r="F7" s="49">
        <f>SUM(F5:F6)</f>
        <v>0.15334799999999998</v>
      </c>
      <c r="G7" s="50"/>
      <c r="H7" s="40"/>
      <c r="I7" s="40"/>
      <c r="J7" s="40"/>
      <c r="K7" s="40"/>
      <c r="L7" s="40"/>
      <c r="M7" s="40"/>
      <c r="N7" s="40"/>
      <c r="O7" s="40"/>
    </row>
    <row r="8" spans="2:15" x14ac:dyDescent="0.3">
      <c r="B8" s="38">
        <v>2003</v>
      </c>
      <c r="C8" s="48">
        <v>0.71899999999999997</v>
      </c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</row>
    <row r="9" spans="2:15" x14ac:dyDescent="0.3">
      <c r="B9" s="38">
        <v>2004</v>
      </c>
      <c r="C9" s="48">
        <v>0.10680000000000001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</row>
    <row r="10" spans="2:15" x14ac:dyDescent="0.3">
      <c r="B10" s="38">
        <v>2005</v>
      </c>
      <c r="C10" s="48">
        <v>0.3634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</row>
    <row r="11" spans="2:15" x14ac:dyDescent="0.3">
      <c r="B11" s="38">
        <v>2006</v>
      </c>
      <c r="C11" s="48">
        <v>0.39829999999999999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</row>
    <row r="12" spans="2:15" x14ac:dyDescent="0.3">
      <c r="B12" s="38">
        <v>2007</v>
      </c>
      <c r="C12" s="48">
        <v>0.54769999999999996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</row>
    <row r="13" spans="2:15" x14ac:dyDescent="0.3">
      <c r="B13" s="38">
        <v>2008</v>
      </c>
      <c r="C13" s="48">
        <v>-0.51790000000000003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</row>
    <row r="14" spans="2:15" x14ac:dyDescent="0.3">
      <c r="B14" s="38">
        <v>2009</v>
      </c>
      <c r="C14" s="48">
        <v>0.75760000000000005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</row>
    <row r="15" spans="2:15" x14ac:dyDescent="0.3">
      <c r="B15" s="38">
        <v>2010</v>
      </c>
      <c r="C15" s="48">
        <v>0.17949999999999999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</row>
    <row r="16" spans="2:15" x14ac:dyDescent="0.3">
      <c r="B16" s="38">
        <v>2011</v>
      </c>
      <c r="C16" s="48">
        <v>-0.2462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</row>
    <row r="17" spans="2:15" x14ac:dyDescent="0.3">
      <c r="B17" s="38">
        <v>2012</v>
      </c>
      <c r="C17" s="48">
        <v>0.27700000000000002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</row>
    <row r="18" spans="2:15" x14ac:dyDescent="0.3">
      <c r="B18" s="38">
        <v>2013</v>
      </c>
      <c r="C18" s="48">
        <v>6.7599999999999993E-2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</row>
    <row r="19" spans="2:15" x14ac:dyDescent="0.3">
      <c r="B19" s="38">
        <v>2014</v>
      </c>
      <c r="C19" s="48">
        <v>0.31390000000000001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2:15" x14ac:dyDescent="0.3">
      <c r="B20" s="38">
        <v>2015</v>
      </c>
      <c r="C20" s="48">
        <v>-4.0599999999999997E-2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</row>
    <row r="21" spans="2:15" x14ac:dyDescent="0.3">
      <c r="B21" s="38">
        <v>2016</v>
      </c>
      <c r="C21" s="48">
        <v>3.0099999999999998E-2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</row>
    <row r="22" spans="2:15" x14ac:dyDescent="0.3">
      <c r="B22" s="38">
        <v>2017</v>
      </c>
      <c r="C22" s="48">
        <v>0.28649999999999998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</row>
    <row r="23" spans="2:15" x14ac:dyDescent="0.3">
      <c r="B23" s="38">
        <v>2018</v>
      </c>
      <c r="C23" s="48">
        <v>3.15E-2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</row>
    <row r="24" spans="2:15" x14ac:dyDescent="0.3">
      <c r="B24" s="38">
        <v>2019</v>
      </c>
      <c r="C24" s="48">
        <v>0.1202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</row>
    <row r="25" spans="2:15" x14ac:dyDescent="0.3">
      <c r="B25" s="38">
        <v>2020</v>
      </c>
      <c r="C25" s="48">
        <v>0.14899999999999999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</row>
    <row r="26" spans="2:15" x14ac:dyDescent="0.3">
      <c r="B26" s="38">
        <v>2021</v>
      </c>
      <c r="C26" s="48">
        <v>0.2412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</row>
    <row r="27" spans="2:15" x14ac:dyDescent="0.3">
      <c r="B27" s="38">
        <v>2022</v>
      </c>
      <c r="C27" s="48">
        <v>4.3200000000000002E-2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</row>
    <row r="28" spans="2:15" x14ac:dyDescent="0.3">
      <c r="B28" s="38">
        <v>2023</v>
      </c>
      <c r="C28" s="48">
        <v>0.19420000000000001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</row>
    <row r="29" spans="2:15" x14ac:dyDescent="0.3">
      <c r="B29" s="38">
        <v>2024</v>
      </c>
      <c r="C29" s="48">
        <v>8.7499999999999994E-2</v>
      </c>
      <c r="O29" s="4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DCF&gt;</vt:lpstr>
      <vt:lpstr>WACC</vt:lpstr>
      <vt:lpstr>DATA&gt;</vt:lpstr>
      <vt:lpstr>REGRESSION BETA</vt:lpstr>
      <vt:lpstr>COMPS BETA</vt:lpstr>
      <vt:lpstr>Rm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Anikett Chawla</dc:creator>
  <cp:lastModifiedBy>Anikett Chawla</cp:lastModifiedBy>
  <dcterms:created xsi:type="dcterms:W3CDTF">2026-02-26T12:10:17Z</dcterms:created>
  <dcterms:modified xsi:type="dcterms:W3CDTF">2026-03-08T14:19:38Z</dcterms:modified>
</cp:coreProperties>
</file>