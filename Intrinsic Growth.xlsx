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7be8e1f9ac33a9/Documents/"/>
    </mc:Choice>
  </mc:AlternateContent>
  <xr:revisionPtr revIDLastSave="507" documentId="8_{6D1CA441-052D-47A2-93BB-221C1501B60E}" xr6:coauthVersionLast="47" xr6:coauthVersionMax="47" xr10:uidLastSave="{E4423644-6AE0-4157-A488-DB9398224B99}"/>
  <bookViews>
    <workbookView xWindow="-108" yWindow="-108" windowWidth="23256" windowHeight="12456" activeTab="2" xr2:uid="{4BC1681C-7037-4795-A30D-2E03E74D3AB2}"/>
  </bookViews>
  <sheets>
    <sheet name="DATA ROOM 1" sheetId="2" r:id="rId1"/>
    <sheet name="INTRINSIC GROWTH " sheetId="3" r:id="rId2"/>
    <sheet name="DC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4" l="1"/>
  <c r="C22" i="4"/>
  <c r="C21" i="4"/>
  <c r="G10" i="4"/>
  <c r="H9" i="4"/>
  <c r="H10" i="4" s="1"/>
  <c r="F4" i="4"/>
  <c r="F7" i="4"/>
  <c r="G7" i="4" s="1"/>
  <c r="H7" i="4" s="1"/>
  <c r="I7" i="4" s="1"/>
  <c r="J7" i="4" s="1"/>
  <c r="G5" i="4"/>
  <c r="H5" i="4"/>
  <c r="I5" i="4"/>
  <c r="J5" i="4"/>
  <c r="F5" i="4"/>
  <c r="F2" i="4"/>
  <c r="G2" i="4" s="1"/>
  <c r="H2" i="4" s="1"/>
  <c r="I2" i="4" s="1"/>
  <c r="J2" i="4" s="1"/>
  <c r="K2" i="4" s="1"/>
  <c r="I9" i="4" l="1"/>
  <c r="F6" i="4"/>
  <c r="F8" i="4" s="1"/>
  <c r="G4" i="4"/>
  <c r="J9" i="4" l="1"/>
  <c r="I10" i="4"/>
  <c r="H4" i="4"/>
  <c r="G6" i="4"/>
  <c r="G8" i="4" s="1"/>
  <c r="G12" i="4" s="1"/>
  <c r="K9" i="4" l="1"/>
  <c r="K10" i="4" s="1"/>
  <c r="J10" i="4"/>
  <c r="I4" i="4"/>
  <c r="H6" i="4"/>
  <c r="H8" i="4" s="1"/>
  <c r="H12" i="4" s="1"/>
  <c r="K55" i="3"/>
  <c r="K54" i="3"/>
  <c r="K65" i="3"/>
  <c r="K64" i="3"/>
  <c r="I57" i="3"/>
  <c r="K57" i="3"/>
  <c r="K48" i="3"/>
  <c r="H48" i="3"/>
  <c r="I48" i="3"/>
  <c r="J48" i="3"/>
  <c r="K50" i="3"/>
  <c r="H46" i="3"/>
  <c r="H50" i="3" s="1"/>
  <c r="I46" i="3"/>
  <c r="I50" i="3" s="1"/>
  <c r="J46" i="3"/>
  <c r="J50" i="3" s="1"/>
  <c r="K46" i="3"/>
  <c r="G46" i="3"/>
  <c r="G48" i="3" s="1"/>
  <c r="H43" i="3"/>
  <c r="I43" i="3"/>
  <c r="J43" i="3"/>
  <c r="K43" i="3"/>
  <c r="G43" i="3"/>
  <c r="H32" i="3"/>
  <c r="I32" i="3"/>
  <c r="J32" i="3"/>
  <c r="K32" i="3"/>
  <c r="G32" i="3"/>
  <c r="H23" i="3"/>
  <c r="I23" i="3"/>
  <c r="J23" i="3"/>
  <c r="K23" i="3"/>
  <c r="H24" i="3"/>
  <c r="I24" i="3"/>
  <c r="J24" i="3"/>
  <c r="J31" i="3" s="1"/>
  <c r="J33" i="3" s="1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G24" i="3"/>
  <c r="G25" i="3"/>
  <c r="G26" i="3"/>
  <c r="G27" i="3"/>
  <c r="G28" i="3"/>
  <c r="G29" i="3"/>
  <c r="G30" i="3"/>
  <c r="G23" i="3"/>
  <c r="B30" i="3"/>
  <c r="B28" i="3"/>
  <c r="B29" i="3"/>
  <c r="B24" i="3"/>
  <c r="B25" i="3"/>
  <c r="B26" i="3"/>
  <c r="B27" i="3"/>
  <c r="B23" i="3"/>
  <c r="H14" i="3"/>
  <c r="I14" i="3"/>
  <c r="J14" i="3"/>
  <c r="J17" i="3" s="1"/>
  <c r="K14" i="3"/>
  <c r="H15" i="3"/>
  <c r="H17" i="3" s="1"/>
  <c r="I15" i="3"/>
  <c r="I17" i="3" s="1"/>
  <c r="J15" i="3"/>
  <c r="K15" i="3"/>
  <c r="H16" i="3"/>
  <c r="I16" i="3"/>
  <c r="J16" i="3"/>
  <c r="K16" i="3"/>
  <c r="G15" i="3"/>
  <c r="G16" i="3"/>
  <c r="G14" i="3"/>
  <c r="G17" i="3" s="1"/>
  <c r="B15" i="3"/>
  <c r="B16" i="3"/>
  <c r="B14" i="3"/>
  <c r="G9" i="3"/>
  <c r="H9" i="3"/>
  <c r="I9" i="3"/>
  <c r="J9" i="3"/>
  <c r="K9" i="3"/>
  <c r="H8" i="3"/>
  <c r="I8" i="3"/>
  <c r="J8" i="3"/>
  <c r="K8" i="3"/>
  <c r="G8" i="3"/>
  <c r="H7" i="3"/>
  <c r="I7" i="3"/>
  <c r="J7" i="3"/>
  <c r="K7" i="3"/>
  <c r="H6" i="3"/>
  <c r="I6" i="3"/>
  <c r="J6" i="3"/>
  <c r="K6" i="3"/>
  <c r="G7" i="3"/>
  <c r="G6" i="3"/>
  <c r="G10" i="3" s="1"/>
  <c r="G20" i="3" s="1"/>
  <c r="B9" i="3"/>
  <c r="B7" i="3"/>
  <c r="B8" i="3"/>
  <c r="B6" i="3"/>
  <c r="H3" i="3"/>
  <c r="H41" i="3" s="1"/>
  <c r="H57" i="3" s="1"/>
  <c r="I3" i="3"/>
  <c r="I41" i="3" s="1"/>
  <c r="J3" i="3"/>
  <c r="J41" i="3" s="1"/>
  <c r="J57" i="3" s="1"/>
  <c r="K3" i="3"/>
  <c r="K41" i="3" s="1"/>
  <c r="G3" i="3"/>
  <c r="G41" i="3" s="1"/>
  <c r="G57" i="3" s="1"/>
  <c r="D29" i="2"/>
  <c r="E29" i="2"/>
  <c r="F29" i="2"/>
  <c r="G29" i="2"/>
  <c r="H29" i="2"/>
  <c r="I29" i="2"/>
  <c r="J29" i="2"/>
  <c r="K29" i="2"/>
  <c r="L29" i="2"/>
  <c r="M29" i="2"/>
  <c r="C29" i="2"/>
  <c r="J4" i="4" l="1"/>
  <c r="I6" i="4"/>
  <c r="I8" i="4" s="1"/>
  <c r="I12" i="4" s="1"/>
  <c r="I31" i="3"/>
  <c r="I33" i="3" s="1"/>
  <c r="K10" i="3"/>
  <c r="K20" i="3" s="1"/>
  <c r="K44" i="3" s="1"/>
  <c r="J10" i="3"/>
  <c r="J20" i="3" s="1"/>
  <c r="J52" i="3"/>
  <c r="J59" i="3" s="1"/>
  <c r="J62" i="3" s="1"/>
  <c r="I52" i="3"/>
  <c r="I59" i="3" s="1"/>
  <c r="K52" i="3"/>
  <c r="K59" i="3" s="1"/>
  <c r="H52" i="3"/>
  <c r="K17" i="3"/>
  <c r="H31" i="3"/>
  <c r="H33" i="3" s="1"/>
  <c r="G31" i="3"/>
  <c r="G33" i="3" s="1"/>
  <c r="K31" i="3"/>
  <c r="K33" i="3" s="1"/>
  <c r="K35" i="3" s="1"/>
  <c r="K38" i="3" s="1"/>
  <c r="K60" i="3" s="1"/>
  <c r="H10" i="3"/>
  <c r="H20" i="3" s="1"/>
  <c r="H44" i="3" s="1"/>
  <c r="I10" i="3"/>
  <c r="I20" i="3" s="1"/>
  <c r="I44" i="3" s="1"/>
  <c r="G35" i="3"/>
  <c r="G38" i="3" s="1"/>
  <c r="J35" i="3"/>
  <c r="J38" i="3" s="1"/>
  <c r="J60" i="3" s="1"/>
  <c r="K4" i="4" l="1"/>
  <c r="K6" i="4" s="1"/>
  <c r="K8" i="4" s="1"/>
  <c r="J6" i="4"/>
  <c r="J8" i="4" s="1"/>
  <c r="J12" i="4" s="1"/>
  <c r="H59" i="3"/>
  <c r="K62" i="3"/>
  <c r="I35" i="3"/>
  <c r="I38" i="3" s="1"/>
  <c r="I60" i="3" s="1"/>
  <c r="I62" i="3" s="1"/>
  <c r="J44" i="3"/>
  <c r="H35" i="3"/>
  <c r="H38" i="3" s="1"/>
  <c r="H60" i="3" s="1"/>
  <c r="C20" i="4" l="1"/>
  <c r="C24" i="4" s="1"/>
  <c r="C29" i="4" s="1"/>
  <c r="C30" i="4" s="1"/>
  <c r="K12" i="4"/>
  <c r="C28" i="4" s="1"/>
  <c r="H62" i="3"/>
  <c r="G19" i="4" l="1"/>
  <c r="C34" i="4"/>
  <c r="C37" i="4" s="1"/>
</calcChain>
</file>

<file path=xl/sharedStrings.xml><?xml version="1.0" encoding="utf-8"?>
<sst xmlns="http://schemas.openxmlformats.org/spreadsheetml/2006/main" count="123" uniqueCount="115">
  <si>
    <t>Equity Capital</t>
  </si>
  <si>
    <t>Reserves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</si>
  <si>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</si>
  <si>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</si>
  <si>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</si>
  <si>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</si>
  <si>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</si>
  <si>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</si>
  <si>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</si>
  <si>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</si>
  <si>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</si>
  <si>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</si>
  <si>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</si>
  <si>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</si>
  <si>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</si>
  <si>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</si>
  <si>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</si>
  <si>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</si>
  <si>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</si>
  <si>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</si>
  <si>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</si>
  <si>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</si>
  <si>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</si>
  <si>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CWIP</t>
  </si>
  <si>
    <t>Investments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</si>
  <si>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</si>
  <si>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</si>
  <si>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</si>
  <si>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</si>
  <si>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</si>
  <si>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</si>
  <si>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Total Assets</t>
  </si>
  <si>
    <t>Particulars</t>
  </si>
  <si>
    <t xml:space="preserve">  </t>
  </si>
  <si>
    <t>Accumulated Depriciation</t>
  </si>
  <si>
    <t>Net Block</t>
  </si>
  <si>
    <t>Calculation of ROIC</t>
  </si>
  <si>
    <t>Current Assets</t>
  </si>
  <si>
    <t xml:space="preserve">Total Current Assets </t>
  </si>
  <si>
    <t xml:space="preserve">Current Liablities </t>
  </si>
  <si>
    <t>Total Current Assets</t>
  </si>
  <si>
    <t>Net Working Capital</t>
  </si>
  <si>
    <t xml:space="preserve">Non Current Assets </t>
  </si>
  <si>
    <t xml:space="preserve">Accumulated Depriciation </t>
  </si>
  <si>
    <t>Net Non Current Asset</t>
  </si>
  <si>
    <t>Invested Capital</t>
  </si>
  <si>
    <t>#</t>
  </si>
  <si>
    <t>EBIT</t>
  </si>
  <si>
    <t>ROIC</t>
  </si>
  <si>
    <t>Calculation Of Reinvested Rate</t>
  </si>
  <si>
    <t>Cash from Operating Activity -</t>
  </si>
  <si>
    <t>Profit from operations</t>
  </si>
  <si>
    <t>Receivables</t>
  </si>
  <si>
    <t>Inventory</t>
  </si>
  <si>
    <t>Payables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</si>
  <si>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</si>
  <si>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</si>
  <si>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</si>
  <si>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</si>
  <si>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</si>
  <si>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</si>
  <si>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</si>
  <si>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</si>
  <si>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</si>
  <si>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</si>
  <si>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</si>
  <si>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</si>
  <si>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</si>
  <si>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</si>
  <si>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</si>
  <si>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</si>
  <si>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</si>
  <si>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</si>
  <si>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</si>
  <si>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</si>
  <si>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</si>
  <si>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</si>
  <si>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</si>
  <si>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Net Capex</t>
  </si>
  <si>
    <t>Change in Working Capital</t>
  </si>
  <si>
    <t>Marginal Tax Rate</t>
  </si>
  <si>
    <t>Reinvestment</t>
  </si>
  <si>
    <t>EBIT(1-t)</t>
  </si>
  <si>
    <t xml:space="preserve">Reinvestment Rate </t>
  </si>
  <si>
    <t>Calculation of Growth Rate</t>
  </si>
  <si>
    <t>Reinvestment Rate</t>
  </si>
  <si>
    <t>INTRINSIC GROWTH</t>
  </si>
  <si>
    <t xml:space="preserve">4 Year Average </t>
  </si>
  <si>
    <t>4 Year Median</t>
  </si>
  <si>
    <t>4 Year Average</t>
  </si>
  <si>
    <t xml:space="preserve">4 Year Median </t>
  </si>
  <si>
    <t xml:space="preserve">Calculation Of PV FCFF </t>
  </si>
  <si>
    <t>Tax Rate</t>
  </si>
  <si>
    <t>EBIT(1-T)</t>
  </si>
  <si>
    <t>Less: Reinvestment Rate</t>
  </si>
  <si>
    <t>Free Cash Flow Of Firm (FCFF)</t>
  </si>
  <si>
    <t>Mid Year Convention</t>
  </si>
  <si>
    <t>Discounting Factor</t>
  </si>
  <si>
    <t>PV of FCFF</t>
  </si>
  <si>
    <t>Expected Growth</t>
  </si>
  <si>
    <t>Terminal Growth</t>
  </si>
  <si>
    <t>WACC</t>
  </si>
  <si>
    <t>Calculation of Terminal value</t>
  </si>
  <si>
    <t>FCFF (n+1)</t>
  </si>
  <si>
    <t>Terminal Growth Rate</t>
  </si>
  <si>
    <t>Termonal value</t>
  </si>
  <si>
    <t>Calculation of Equity Value  per share</t>
  </si>
  <si>
    <t>value of operating assets</t>
  </si>
  <si>
    <t>PV OF Terminal  value</t>
  </si>
  <si>
    <t>add: cash</t>
  </si>
  <si>
    <t>less:debt</t>
  </si>
  <si>
    <t>Value of Equity</t>
  </si>
  <si>
    <t>No. of Shares</t>
  </si>
  <si>
    <t>Equity value per share</t>
  </si>
  <si>
    <t>Calculation of Senstivity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</si>
</sst>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mmm/yy\ &quot;F&quot;"/>
    <numFmt numFmtId="166" formatCode="mmm/yy\ &quot;A&quot;"/>
    <numFmt numFmtId="167" formatCode="0.0000"/>
    <numFmt numFmtId="168" formatCode="0.000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20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3" fontId="0" fillId="0" borderId="0" xfId="0" applyNumberFormat="1"/>
    <xf numFmtId="0" fontId="0" fillId="0" borderId="2" xfId="0" applyBorder="1"/>
    <xf numFmtId="17" fontId="0" fillId="0" borderId="0" xfId="0" applyNumberFormat="1"/>
    <xf numFmtId="17" fontId="2" fillId="3" borderId="1" xfId="0" applyNumberFormat="1" applyFont="1" applyFill="1" applyBorder="1"/>
    <xf numFmtId="17" fontId="2" fillId="3" borderId="2" xfId="0" applyNumberFormat="1" applyFont="1" applyFill="1" applyBorder="1"/>
    <xf numFmtId="17" fontId="2" fillId="3" borderId="3" xfId="0" applyNumberFormat="1" applyFont="1" applyFill="1" applyBorder="1"/>
    <xf numFmtId="0" fontId="0" fillId="2" borderId="0" xfId="0" applyFill="1"/>
    <xf numFmtId="17" fontId="2" fillId="2" borderId="0" xfId="0" applyNumberFormat="1" applyFont="1" applyFill="1"/>
    <xf numFmtId="17" fontId="0" fillId="2" borderId="0" xfId="0" applyNumberFormat="1" applyFill="1"/>
    <xf numFmtId="0" fontId="3" fillId="0" borderId="0" xfId="0" applyFont="1"/>
    <xf numFmtId="3" fontId="3" fillId="0" borderId="0" xfId="0" applyNumberFormat="1" applyFont="1"/>
    <xf numFmtId="0" fontId="3" fillId="0" borderId="1" xfId="0" applyFont="1" applyBorder="1"/>
    <xf numFmtId="0" fontId="3" fillId="0" borderId="2" xfId="0" applyFont="1" applyBorder="1"/>
    <xf numFmtId="3" fontId="3" fillId="0" borderId="2" xfId="0" applyNumberFormat="1" applyFont="1" applyBorder="1"/>
    <xf numFmtId="3" fontId="0" fillId="0" borderId="2" xfId="0" applyNumberFormat="1" applyBorder="1"/>
    <xf numFmtId="164" fontId="0" fillId="0" borderId="2" xfId="0" applyNumberFormat="1" applyBorder="1"/>
    <xf numFmtId="164" fontId="0" fillId="0" borderId="0" xfId="0" applyNumberFormat="1"/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3" fillId="0" borderId="5" xfId="0" applyFont="1" applyBorder="1"/>
    <xf numFmtId="164" fontId="0" fillId="0" borderId="5" xfId="0" applyNumberFormat="1" applyBorder="1"/>
    <xf numFmtId="3" fontId="0" fillId="0" borderId="5" xfId="0" applyNumberFormat="1" applyBorder="1"/>
    <xf numFmtId="0" fontId="0" fillId="3" borderId="0" xfId="0" applyFill="1"/>
    <xf numFmtId="0" fontId="4" fillId="3" borderId="0" xfId="0" applyFont="1" applyFill="1"/>
    <xf numFmtId="0" fontId="2" fillId="3" borderId="0" xfId="0" applyFont="1" applyFill="1"/>
    <xf numFmtId="0" fontId="3" fillId="3" borderId="0" xfId="0" applyFont="1" applyFill="1"/>
    <xf numFmtId="17" fontId="2" fillId="3" borderId="0" xfId="0" applyNumberFormat="1" applyFont="1" applyFill="1"/>
    <xf numFmtId="10" fontId="3" fillId="0" borderId="2" xfId="1" applyNumberFormat="1" applyFont="1" applyBorder="1"/>
    <xf numFmtId="164" fontId="3" fillId="0" borderId="4" xfId="0" applyNumberFormat="1" applyFont="1" applyBorder="1"/>
    <xf numFmtId="164" fontId="3" fillId="0" borderId="2" xfId="0" applyNumberFormat="1" applyFont="1" applyBorder="1"/>
    <xf numFmtId="164" fontId="3" fillId="0" borderId="0" xfId="0" applyNumberFormat="1" applyFont="1"/>
    <xf numFmtId="0" fontId="3" fillId="4" borderId="0" xfId="0" applyFont="1" applyFill="1"/>
    <xf numFmtId="9" fontId="5" fillId="0" borderId="2" xfId="0" applyNumberFormat="1" applyFont="1" applyBorder="1"/>
    <xf numFmtId="0" fontId="5" fillId="0" borderId="2" xfId="0" applyFont="1" applyBorder="1"/>
    <xf numFmtId="9" fontId="0" fillId="0" borderId="2" xfId="1" applyFont="1" applyBorder="1"/>
    <xf numFmtId="0" fontId="0" fillId="0" borderId="6" xfId="0" applyBorder="1"/>
    <xf numFmtId="10" fontId="0" fillId="0" borderId="6" xfId="1" applyNumberFormat="1" applyFont="1" applyBorder="1"/>
    <xf numFmtId="10" fontId="0" fillId="0" borderId="6" xfId="0" applyNumberFormat="1" applyBorder="1"/>
    <xf numFmtId="0" fontId="3" fillId="0" borderId="7" xfId="0" applyFont="1" applyBorder="1"/>
    <xf numFmtId="10" fontId="3" fillId="0" borderId="7" xfId="0" applyNumberFormat="1" applyFont="1" applyBorder="1"/>
    <xf numFmtId="10" fontId="3" fillId="4" borderId="0" xfId="0" applyNumberFormat="1" applyFont="1" applyFill="1"/>
    <xf numFmtId="10" fontId="3" fillId="2" borderId="0" xfId="1" applyNumberFormat="1" applyFont="1" applyFill="1"/>
    <xf numFmtId="0" fontId="2" fillId="2" borderId="0" xfId="0" applyFont="1" applyFill="1"/>
    <xf numFmtId="165" fontId="2" fillId="3" borderId="0" xfId="0" applyNumberFormat="1" applyFont="1" applyFill="1"/>
    <xf numFmtId="166" fontId="2" fillId="3" borderId="0" xfId="0" applyNumberFormat="1" applyFont="1" applyFill="1"/>
    <xf numFmtId="10" fontId="0" fillId="0" borderId="0" xfId="0" applyNumberFormat="1"/>
    <xf numFmtId="2" fontId="0" fillId="0" borderId="0" xfId="0" applyNumberFormat="1"/>
    <xf numFmtId="9" fontId="5" fillId="0" borderId="2" xfId="1" applyFont="1" applyBorder="1"/>
    <xf numFmtId="2" fontId="0" fillId="0" borderId="2" xfId="0" applyNumberFormat="1" applyBorder="1"/>
    <xf numFmtId="10" fontId="0" fillId="0" borderId="2" xfId="0" applyNumberFormat="1" applyBorder="1"/>
    <xf numFmtId="10" fontId="5" fillId="0" borderId="2" xfId="0" applyNumberFormat="1" applyFont="1" applyBorder="1"/>
    <xf numFmtId="167" fontId="0" fillId="0" borderId="2" xfId="0" applyNumberFormat="1" applyBorder="1"/>
    <xf numFmtId="0" fontId="0" fillId="4" borderId="0" xfId="0" applyFill="1"/>
    <xf numFmtId="0" fontId="0" fillId="4" borderId="2" xfId="0" applyFill="1" applyBorder="1"/>
    <xf numFmtId="9" fontId="5" fillId="4" borderId="2" xfId="1" applyFont="1" applyFill="1" applyBorder="1"/>
    <xf numFmtId="2" fontId="0" fillId="4" borderId="2" xfId="0" applyNumberFormat="1" applyFill="1" applyBorder="1"/>
    <xf numFmtId="10" fontId="0" fillId="4" borderId="2" xfId="0" applyNumberFormat="1" applyFill="1" applyBorder="1"/>
    <xf numFmtId="167" fontId="0" fillId="4" borderId="2" xfId="0" applyNumberFormat="1" applyFill="1" applyBorder="1"/>
    <xf numFmtId="168" fontId="0" fillId="0" borderId="2" xfId="0" applyNumberFormat="1" applyBorder="1"/>
    <xf numFmtId="0" fontId="3" fillId="4" borderId="2" xfId="0" applyFont="1" applyFill="1" applyBorder="1"/>
    <xf numFmtId="167" fontId="3" fillId="0" borderId="2" xfId="0" applyNumberFormat="1" applyFont="1" applyBorder="1"/>
    <xf numFmtId="10" fontId="0" fillId="4" borderId="0" xfId="1" applyNumberFormat="1" applyFont="1" applyFill="1"/>
    <xf numFmtId="2" fontId="3" fillId="0" borderId="0" xfId="0" applyNumberFormat="1" applyFont="1"/>
    <xf numFmtId="2" fontId="3" fillId="0" borderId="2" xfId="0" applyNumberFormat="1" applyFont="1" applyBorder="1"/>
    <xf numFmtId="2" fontId="4" fillId="2" borderId="0" xfId="0" applyNumberFormat="1" applyFont="1" applyFill="1"/>
    <xf numFmtId="9" fontId="3" fillId="0" borderId="0" xfId="0" applyNumberFormat="1" applyFont="1"/>
    <xf numFmtId="10" fontId="3" fillId="0" borderId="0" xfId="0" applyNumberFormat="1" applyFont="1"/>
    <xf numFmtId="0" fontId="2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31D3-D58E-41D0-B7E8-60758137DC5C}">
  <dimension ref="A2:O71"/>
  <sheetViews>
    <sheetView showGridLines="0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Q40" sqref="Q40"/>
    </sheetView>
  </sheetViews>
  <sheetFormatPr defaultRowHeight="14.4" x14ac:dyDescent="0.3"/>
  <cols>
    <col min="1" max="1" width="1.88671875" customWidth="1"/>
    <col min="2" max="2" width="28.5546875" customWidth="1"/>
    <col min="3" max="6" width="7" bestFit="1" customWidth="1"/>
    <col min="7" max="8" width="7.6640625" bestFit="1" customWidth="1"/>
    <col min="9" max="13" width="8" bestFit="1" customWidth="1"/>
  </cols>
  <sheetData>
    <row r="2" spans="1:15" x14ac:dyDescent="0.3">
      <c r="B2" s="4" t="s">
        <v>32</v>
      </c>
      <c r="C2" s="5">
        <v>42064</v>
      </c>
      <c r="D2" s="5">
        <v>42430</v>
      </c>
      <c r="E2" s="5">
        <v>42795</v>
      </c>
      <c r="F2" s="5">
        <v>43160</v>
      </c>
      <c r="G2" s="5">
        <v>43525</v>
      </c>
      <c r="H2" s="5">
        <v>43891</v>
      </c>
      <c r="I2" s="5">
        <v>44256</v>
      </c>
      <c r="J2" s="5">
        <v>44621</v>
      </c>
      <c r="K2" s="5">
        <v>44986</v>
      </c>
      <c r="L2" s="5">
        <v>45352</v>
      </c>
      <c r="M2" s="6">
        <v>45717</v>
      </c>
      <c r="N2" s="3"/>
    </row>
    <row r="3" spans="1:15" s="7" customFormat="1" x14ac:dyDescent="0.3">
      <c r="B3" s="8" t="s">
        <v>33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spans="1:15" x14ac:dyDescent="0.3">
      <c r="B4" t="s">
        <v>0</v>
      </c>
      <c r="C4" s="16">
        <v>96</v>
      </c>
      <c r="D4" s="16">
        <v>96</v>
      </c>
      <c r="E4" s="16">
        <v>96</v>
      </c>
      <c r="F4" s="16">
        <v>96</v>
      </c>
      <c r="G4" s="16">
        <v>96</v>
      </c>
      <c r="H4" s="16">
        <v>96</v>
      </c>
      <c r="I4" s="16">
        <v>96</v>
      </c>
      <c r="J4" s="16">
        <v>96</v>
      </c>
      <c r="K4" s="16">
        <v>96</v>
      </c>
      <c r="L4" s="16">
        <v>96</v>
      </c>
      <c r="M4" s="16">
        <v>96</v>
      </c>
    </row>
    <row r="5" spans="1:15" x14ac:dyDescent="0.3">
      <c r="B5" t="s">
        <v>1</v>
      </c>
      <c r="C5" s="16">
        <v>3943</v>
      </c>
      <c r="D5" s="16">
        <v>4646</v>
      </c>
      <c r="E5" s="16">
        <v>6429</v>
      </c>
      <c r="F5" s="16">
        <v>7508</v>
      </c>
      <c r="G5" s="16">
        <v>8314</v>
      </c>
      <c r="H5" s="16">
        <v>9375</v>
      </c>
      <c r="I5" s="16">
        <v>10034</v>
      </c>
      <c r="J5" s="16">
        <v>12710</v>
      </c>
      <c r="K5" s="16">
        <v>13716</v>
      </c>
      <c r="L5" s="16">
        <v>15896</v>
      </c>
      <c r="M5" s="16">
        <v>18632</v>
      </c>
      <c r="N5" s="1"/>
      <c r="O5" s="1"/>
    </row>
    <row r="6" spans="1:15" x14ac:dyDescent="0.3">
      <c r="B6" s="10" t="s">
        <v>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"/>
      <c r="O6" s="1"/>
    </row>
    <row r="7" spans="1:15" x14ac:dyDescent="0.3">
      <c r="B7" t="s">
        <v>3</v>
      </c>
      <c r="C7" s="16">
        <v>41</v>
      </c>
      <c r="D7" s="16">
        <v>78</v>
      </c>
      <c r="E7" s="16">
        <v>73</v>
      </c>
      <c r="F7" s="16">
        <v>41</v>
      </c>
      <c r="G7" s="16">
        <v>28</v>
      </c>
      <c r="H7" s="16">
        <v>19</v>
      </c>
      <c r="I7" s="16">
        <v>19</v>
      </c>
      <c r="J7" s="16">
        <v>15</v>
      </c>
      <c r="K7" s="16">
        <v>45</v>
      </c>
      <c r="L7" s="16">
        <v>76</v>
      </c>
      <c r="M7" s="16">
        <v>54</v>
      </c>
    </row>
    <row r="8" spans="1:15" x14ac:dyDescent="0.3">
      <c r="B8" t="s">
        <v>4</v>
      </c>
      <c r="C8" s="16">
        <v>199</v>
      </c>
      <c r="D8" s="16">
        <v>332</v>
      </c>
      <c r="E8" s="16">
        <v>231</v>
      </c>
      <c r="F8" s="16">
        <v>504</v>
      </c>
      <c r="G8" s="16">
        <v>492</v>
      </c>
      <c r="H8" s="16">
        <v>597</v>
      </c>
      <c r="I8" s="16">
        <v>321</v>
      </c>
      <c r="J8" s="16">
        <v>326</v>
      </c>
      <c r="K8" s="16">
        <v>731</v>
      </c>
      <c r="L8" s="16">
        <v>896</v>
      </c>
      <c r="M8" s="16">
        <v>1053</v>
      </c>
      <c r="O8" s="1"/>
    </row>
    <row r="9" spans="1:15" x14ac:dyDescent="0.3">
      <c r="B9" t="s">
        <v>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693</v>
      </c>
      <c r="I9" s="16">
        <v>764</v>
      </c>
      <c r="J9" s="16">
        <v>745</v>
      </c>
      <c r="K9" s="16">
        <v>811</v>
      </c>
      <c r="L9" s="16">
        <v>960</v>
      </c>
      <c r="M9" s="16">
        <v>1367</v>
      </c>
      <c r="N9" s="1"/>
      <c r="O9" s="1"/>
    </row>
    <row r="10" spans="1:15" x14ac:dyDescent="0.3">
      <c r="B10" t="s">
        <v>6</v>
      </c>
      <c r="C10" s="16">
        <v>9</v>
      </c>
      <c r="D10" s="16">
        <v>8</v>
      </c>
      <c r="E10" s="16">
        <v>20</v>
      </c>
      <c r="F10" s="16">
        <v>15</v>
      </c>
      <c r="G10" s="16">
        <v>13</v>
      </c>
      <c r="H10" s="16">
        <v>11</v>
      </c>
      <c r="I10" s="16">
        <v>15</v>
      </c>
      <c r="J10" s="16">
        <v>8</v>
      </c>
      <c r="K10" s="16">
        <v>0</v>
      </c>
      <c r="L10" s="16">
        <v>0</v>
      </c>
      <c r="M10" s="16">
        <v>0</v>
      </c>
    </row>
    <row r="11" spans="1:15" x14ac:dyDescent="0.3">
      <c r="B11" s="10" t="s">
        <v>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"/>
      <c r="O11" s="1"/>
    </row>
    <row r="12" spans="1:15" x14ac:dyDescent="0.3">
      <c r="B12" t="s">
        <v>8</v>
      </c>
      <c r="C12" s="16">
        <v>246</v>
      </c>
      <c r="D12" s="16">
        <v>264</v>
      </c>
      <c r="E12" s="16">
        <v>384</v>
      </c>
      <c r="F12" s="16">
        <v>375</v>
      </c>
      <c r="G12" s="16">
        <v>328</v>
      </c>
      <c r="H12" s="16">
        <v>361</v>
      </c>
      <c r="I12" s="16">
        <v>404</v>
      </c>
      <c r="J12" s="16">
        <v>423</v>
      </c>
      <c r="K12" s="16">
        <v>388</v>
      </c>
      <c r="L12" s="16">
        <v>454</v>
      </c>
      <c r="M12" s="16">
        <v>695</v>
      </c>
    </row>
    <row r="13" spans="1:15" x14ac:dyDescent="0.3">
      <c r="B13" t="s">
        <v>9</v>
      </c>
      <c r="C13" s="16">
        <v>1746</v>
      </c>
      <c r="D13" s="16">
        <v>1549</v>
      </c>
      <c r="E13" s="16">
        <v>1565</v>
      </c>
      <c r="F13" s="16">
        <v>1923</v>
      </c>
      <c r="G13" s="16">
        <v>2160</v>
      </c>
      <c r="H13" s="16">
        <v>2394</v>
      </c>
      <c r="I13" s="16">
        <v>2137</v>
      </c>
      <c r="J13" s="16">
        <v>3379</v>
      </c>
      <c r="K13" s="16">
        <v>4164</v>
      </c>
      <c r="L13" s="16">
        <v>3635</v>
      </c>
      <c r="M13" s="16">
        <v>3831</v>
      </c>
      <c r="N13" s="1"/>
      <c r="O13" s="1"/>
    </row>
    <row r="14" spans="1:15" x14ac:dyDescent="0.3">
      <c r="B14" t="s">
        <v>10</v>
      </c>
      <c r="C14" s="16">
        <v>0</v>
      </c>
      <c r="D14" s="16">
        <v>5</v>
      </c>
      <c r="E14" s="16">
        <v>12</v>
      </c>
      <c r="F14" s="16">
        <v>17</v>
      </c>
      <c r="G14" s="16">
        <v>16</v>
      </c>
      <c r="H14" s="16">
        <v>13</v>
      </c>
      <c r="I14" s="16">
        <v>29</v>
      </c>
      <c r="J14" s="16">
        <v>41</v>
      </c>
      <c r="K14" s="16">
        <v>76</v>
      </c>
      <c r="L14" s="16">
        <v>108</v>
      </c>
      <c r="M14" s="16">
        <v>154</v>
      </c>
    </row>
    <row r="15" spans="1:15" x14ac:dyDescent="0.3">
      <c r="B15" t="s">
        <v>11</v>
      </c>
      <c r="C15" s="16">
        <v>1795</v>
      </c>
      <c r="D15" s="16">
        <v>1937</v>
      </c>
      <c r="E15" s="16">
        <v>1750</v>
      </c>
      <c r="F15" s="16">
        <v>1925</v>
      </c>
      <c r="G15" s="16">
        <v>2316</v>
      </c>
      <c r="H15" s="16">
        <v>2690</v>
      </c>
      <c r="I15" s="16">
        <v>2320</v>
      </c>
      <c r="J15" s="16">
        <v>2613</v>
      </c>
      <c r="K15" s="16">
        <v>2932</v>
      </c>
      <c r="L15" s="16">
        <v>3657</v>
      </c>
      <c r="M15" s="16">
        <v>4017</v>
      </c>
      <c r="N15" s="1"/>
      <c r="O15" s="1"/>
    </row>
    <row r="16" spans="1:15" s="2" customFormat="1" x14ac:dyDescent="0.3">
      <c r="A16" s="12"/>
      <c r="B16" s="13" t="s">
        <v>12</v>
      </c>
      <c r="C16" s="14">
        <v>8075</v>
      </c>
      <c r="D16" s="14">
        <v>8914</v>
      </c>
      <c r="E16" s="14">
        <v>10559</v>
      </c>
      <c r="F16" s="14">
        <v>12405</v>
      </c>
      <c r="G16" s="14">
        <v>13763</v>
      </c>
      <c r="H16" s="14">
        <v>16249</v>
      </c>
      <c r="I16" s="14">
        <v>16138</v>
      </c>
      <c r="J16" s="14">
        <v>20355</v>
      </c>
      <c r="K16" s="14">
        <v>22958</v>
      </c>
      <c r="L16" s="14">
        <v>25779</v>
      </c>
      <c r="M16" s="14">
        <v>29901</v>
      </c>
      <c r="N16" s="15"/>
      <c r="O16" s="15"/>
    </row>
    <row r="17" spans="1:15" x14ac:dyDescent="0.3">
      <c r="A17" s="10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"/>
      <c r="O17" s="1"/>
    </row>
    <row r="18" spans="1:15" x14ac:dyDescent="0.3">
      <c r="B18" s="10" t="s">
        <v>13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B19" t="s">
        <v>14</v>
      </c>
      <c r="C19" s="17">
        <v>247</v>
      </c>
      <c r="D19" s="17">
        <v>251</v>
      </c>
      <c r="E19" s="17">
        <v>429</v>
      </c>
      <c r="F19" s="17">
        <v>408</v>
      </c>
      <c r="G19" s="17">
        <v>586</v>
      </c>
      <c r="H19" s="17">
        <v>605</v>
      </c>
      <c r="I19" s="17">
        <v>640</v>
      </c>
      <c r="J19" s="17">
        <v>644</v>
      </c>
      <c r="K19" s="17">
        <v>644</v>
      </c>
      <c r="L19" s="17">
        <v>804</v>
      </c>
      <c r="M19" s="17">
        <v>1126</v>
      </c>
      <c r="N19" s="1"/>
    </row>
    <row r="20" spans="1:15" x14ac:dyDescent="0.3">
      <c r="B20" t="s">
        <v>15</v>
      </c>
      <c r="C20" s="17">
        <v>931</v>
      </c>
      <c r="D20" s="17">
        <v>962</v>
      </c>
      <c r="E20" s="17">
        <v>923</v>
      </c>
      <c r="F20" s="17">
        <v>931</v>
      </c>
      <c r="G20" s="17">
        <v>957</v>
      </c>
      <c r="H20" s="17">
        <v>2402</v>
      </c>
      <c r="I20" s="17">
        <v>2257</v>
      </c>
      <c r="J20" s="17">
        <v>2249</v>
      </c>
      <c r="K20" s="17">
        <v>2325</v>
      </c>
      <c r="L20" s="17">
        <v>2883</v>
      </c>
      <c r="M20" s="17">
        <v>3390</v>
      </c>
      <c r="N20" s="1"/>
    </row>
    <row r="21" spans="1:15" x14ac:dyDescent="0.3">
      <c r="B21" t="s">
        <v>16</v>
      </c>
      <c r="C21" s="17">
        <v>2054</v>
      </c>
      <c r="D21" s="17">
        <v>2132</v>
      </c>
      <c r="E21" s="17">
        <v>1793</v>
      </c>
      <c r="F21" s="17">
        <v>1980</v>
      </c>
      <c r="G21" s="17">
        <v>2157</v>
      </c>
      <c r="H21" s="17">
        <v>4006</v>
      </c>
      <c r="I21" s="17">
        <v>4208</v>
      </c>
      <c r="J21" s="17">
        <v>4340</v>
      </c>
      <c r="K21" s="17">
        <v>4531</v>
      </c>
      <c r="L21" s="17">
        <v>4825</v>
      </c>
      <c r="M21" s="17">
        <v>5422</v>
      </c>
      <c r="N21" s="1"/>
    </row>
    <row r="22" spans="1:15" x14ac:dyDescent="0.3">
      <c r="B22" t="s">
        <v>17</v>
      </c>
      <c r="C22" s="17">
        <v>155</v>
      </c>
      <c r="D22" s="17">
        <v>171</v>
      </c>
      <c r="E22" s="17">
        <v>97</v>
      </c>
      <c r="F22" s="17">
        <v>119</v>
      </c>
      <c r="G22" s="17">
        <v>200</v>
      </c>
      <c r="H22" s="17">
        <v>221</v>
      </c>
      <c r="I22" s="17">
        <v>241</v>
      </c>
      <c r="J22" s="17">
        <v>243</v>
      </c>
      <c r="K22" s="17">
        <v>253</v>
      </c>
      <c r="L22" s="17">
        <v>270</v>
      </c>
      <c r="M22" s="17">
        <v>298</v>
      </c>
    </row>
    <row r="23" spans="1:15" x14ac:dyDescent="0.3">
      <c r="B23" t="s">
        <v>18</v>
      </c>
      <c r="C23" s="17">
        <v>71</v>
      </c>
      <c r="D23" s="17">
        <v>83</v>
      </c>
      <c r="E23" s="17">
        <v>49</v>
      </c>
      <c r="F23" s="17">
        <v>59</v>
      </c>
      <c r="G23" s="17">
        <v>72</v>
      </c>
      <c r="H23" s="17">
        <v>88</v>
      </c>
      <c r="I23" s="17">
        <v>94</v>
      </c>
      <c r="J23" s="17">
        <v>99</v>
      </c>
      <c r="K23" s="17">
        <v>113</v>
      </c>
      <c r="L23" s="17">
        <v>146</v>
      </c>
      <c r="M23" s="17">
        <v>175</v>
      </c>
    </row>
    <row r="24" spans="1:15" x14ac:dyDescent="0.3">
      <c r="B24" t="s">
        <v>19</v>
      </c>
      <c r="C24" s="17">
        <v>14</v>
      </c>
      <c r="D24" s="17">
        <v>18</v>
      </c>
      <c r="E24" s="17">
        <v>11</v>
      </c>
      <c r="F24" s="17">
        <v>14</v>
      </c>
      <c r="G24" s="17">
        <v>27</v>
      </c>
      <c r="H24" s="17">
        <v>47</v>
      </c>
      <c r="I24" s="17">
        <v>43</v>
      </c>
      <c r="J24" s="17">
        <v>38</v>
      </c>
      <c r="K24" s="17">
        <v>32</v>
      </c>
      <c r="L24" s="17">
        <v>36</v>
      </c>
      <c r="M24" s="17">
        <v>40</v>
      </c>
    </row>
    <row r="25" spans="1:15" x14ac:dyDescent="0.3">
      <c r="B25" t="s">
        <v>20</v>
      </c>
      <c r="C25" s="17">
        <v>203</v>
      </c>
      <c r="D25" s="17">
        <v>351</v>
      </c>
      <c r="E25" s="17">
        <v>339</v>
      </c>
      <c r="F25" s="17">
        <v>276</v>
      </c>
      <c r="G25" s="17">
        <v>468</v>
      </c>
      <c r="H25" s="17">
        <v>512</v>
      </c>
      <c r="I25" s="17">
        <v>505</v>
      </c>
      <c r="J25" s="17">
        <v>476</v>
      </c>
      <c r="K25" s="17">
        <v>345</v>
      </c>
      <c r="L25" s="17">
        <v>422</v>
      </c>
      <c r="M25" s="17">
        <v>850</v>
      </c>
    </row>
    <row r="26" spans="1:15" x14ac:dyDescent="0.3">
      <c r="B26" t="s">
        <v>21</v>
      </c>
      <c r="C26" s="17">
        <v>128</v>
      </c>
      <c r="D26" s="17">
        <v>145</v>
      </c>
      <c r="E26" s="17">
        <v>103</v>
      </c>
      <c r="F26" s="17">
        <v>128</v>
      </c>
      <c r="G26" s="17">
        <v>238</v>
      </c>
      <c r="H26" s="17">
        <v>261</v>
      </c>
      <c r="I26" s="17">
        <v>293</v>
      </c>
      <c r="J26" s="17">
        <v>302</v>
      </c>
      <c r="K26" s="17">
        <v>294</v>
      </c>
      <c r="L26" s="17">
        <v>289</v>
      </c>
      <c r="M26" s="17">
        <v>321</v>
      </c>
    </row>
    <row r="27" spans="1:15" x14ac:dyDescent="0.3">
      <c r="B27" s="10" t="s">
        <v>22</v>
      </c>
      <c r="C27" s="17">
        <v>3804</v>
      </c>
      <c r="D27" s="17">
        <v>4112</v>
      </c>
      <c r="E27" s="17">
        <v>3744</v>
      </c>
      <c r="F27" s="17">
        <v>3914</v>
      </c>
      <c r="G27" s="17">
        <v>4705</v>
      </c>
      <c r="H27" s="17">
        <v>8141</v>
      </c>
      <c r="I27" s="17">
        <v>8282</v>
      </c>
      <c r="J27" s="17">
        <v>8392</v>
      </c>
      <c r="K27" s="17">
        <v>8538</v>
      </c>
      <c r="L27" s="17">
        <v>9676</v>
      </c>
      <c r="M27" s="17">
        <v>11622</v>
      </c>
      <c r="N27" s="1"/>
    </row>
    <row r="28" spans="1:15" s="20" customFormat="1" x14ac:dyDescent="0.3">
      <c r="B28" s="21" t="s">
        <v>34</v>
      </c>
      <c r="C28" s="22">
        <v>1242</v>
      </c>
      <c r="D28" s="22">
        <v>1452</v>
      </c>
      <c r="E28" s="22">
        <v>327</v>
      </c>
      <c r="F28" s="22">
        <v>610</v>
      </c>
      <c r="G28" s="22">
        <v>973</v>
      </c>
      <c r="H28" s="22">
        <v>1644</v>
      </c>
      <c r="I28" s="22">
        <v>2010</v>
      </c>
      <c r="J28" s="22">
        <v>2533</v>
      </c>
      <c r="K28" s="22">
        <v>3019</v>
      </c>
      <c r="L28" s="22">
        <v>3905</v>
      </c>
      <c r="M28" s="22">
        <v>4475</v>
      </c>
      <c r="N28" s="23"/>
    </row>
    <row r="29" spans="1:15" x14ac:dyDescent="0.3">
      <c r="B29" s="10" t="s">
        <v>35</v>
      </c>
      <c r="C29" s="17">
        <f>C27-C28</f>
        <v>2562</v>
      </c>
      <c r="D29" s="17">
        <f t="shared" ref="D29:M29" si="0">D27-D28</f>
        <v>2660</v>
      </c>
      <c r="E29" s="17">
        <f t="shared" si="0"/>
        <v>3417</v>
      </c>
      <c r="F29" s="17">
        <f t="shared" si="0"/>
        <v>3304</v>
      </c>
      <c r="G29" s="17">
        <f t="shared" si="0"/>
        <v>3732</v>
      </c>
      <c r="H29" s="17">
        <f t="shared" si="0"/>
        <v>6497</v>
      </c>
      <c r="I29" s="17">
        <f t="shared" si="0"/>
        <v>6272</v>
      </c>
      <c r="J29" s="17">
        <f t="shared" si="0"/>
        <v>5859</v>
      </c>
      <c r="K29" s="17">
        <f t="shared" si="0"/>
        <v>5519</v>
      </c>
      <c r="L29" s="17">
        <f t="shared" si="0"/>
        <v>5771</v>
      </c>
      <c r="M29" s="17">
        <f t="shared" si="0"/>
        <v>7147</v>
      </c>
      <c r="N29" s="1"/>
    </row>
    <row r="30" spans="1:15" x14ac:dyDescent="0.3">
      <c r="B30" s="1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"/>
    </row>
    <row r="31" spans="1:15" x14ac:dyDescent="0.3">
      <c r="B31" s="10" t="s">
        <v>23</v>
      </c>
      <c r="C31" s="16">
        <v>72</v>
      </c>
      <c r="D31" s="16">
        <v>196</v>
      </c>
      <c r="E31" s="16">
        <v>107</v>
      </c>
      <c r="F31" s="16">
        <v>258</v>
      </c>
      <c r="G31" s="16">
        <v>1405</v>
      </c>
      <c r="H31" s="16">
        <v>210</v>
      </c>
      <c r="I31" s="16">
        <v>140</v>
      </c>
      <c r="J31" s="16">
        <v>183</v>
      </c>
      <c r="K31" s="16">
        <v>426</v>
      </c>
      <c r="L31" s="16">
        <v>1020</v>
      </c>
      <c r="M31" s="16">
        <v>2698</v>
      </c>
      <c r="N31" s="1"/>
      <c r="O31" s="1"/>
    </row>
    <row r="32" spans="1:15" x14ac:dyDescent="0.3">
      <c r="B32" s="10" t="s">
        <v>24</v>
      </c>
      <c r="C32" s="16">
        <v>1424</v>
      </c>
      <c r="D32" s="16">
        <v>1588</v>
      </c>
      <c r="E32" s="16">
        <v>2712</v>
      </c>
      <c r="F32" s="16">
        <v>2652</v>
      </c>
      <c r="G32" s="16">
        <v>2141</v>
      </c>
      <c r="H32" s="16">
        <v>2569</v>
      </c>
      <c r="I32" s="16">
        <v>2019</v>
      </c>
      <c r="J32" s="16">
        <v>4737</v>
      </c>
      <c r="K32" s="16">
        <v>3248</v>
      </c>
      <c r="L32" s="16">
        <v>4262</v>
      </c>
      <c r="M32" s="16">
        <v>4588</v>
      </c>
      <c r="N32" s="1"/>
      <c r="O32" s="1"/>
    </row>
    <row r="33" spans="2:15" x14ac:dyDescent="0.3">
      <c r="B33" s="10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"/>
      <c r="O33" s="1"/>
    </row>
    <row r="34" spans="2:15" x14ac:dyDescent="0.3">
      <c r="B34" s="10" t="s">
        <v>25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"/>
      <c r="O34" s="1"/>
    </row>
    <row r="35" spans="2:15" x14ac:dyDescent="0.3">
      <c r="B35" t="s">
        <v>26</v>
      </c>
      <c r="C35" s="16">
        <v>2070</v>
      </c>
      <c r="D35" s="16">
        <v>2259</v>
      </c>
      <c r="E35" s="16">
        <v>1998</v>
      </c>
      <c r="F35" s="16">
        <v>2627</v>
      </c>
      <c r="G35" s="16">
        <v>2658</v>
      </c>
      <c r="H35" s="16">
        <v>3150</v>
      </c>
      <c r="I35" s="16">
        <v>3390</v>
      </c>
      <c r="J35" s="16">
        <v>3799</v>
      </c>
      <c r="K35" s="16">
        <v>6153</v>
      </c>
      <c r="L35" s="16">
        <v>6211</v>
      </c>
      <c r="M35" s="16">
        <v>5923</v>
      </c>
      <c r="N35" s="1"/>
      <c r="O35" s="1"/>
    </row>
    <row r="36" spans="2:15" x14ac:dyDescent="0.3">
      <c r="B36" t="s">
        <v>27</v>
      </c>
      <c r="C36" s="16">
        <v>1110</v>
      </c>
      <c r="D36" s="16">
        <v>1182</v>
      </c>
      <c r="E36" s="16">
        <v>1187</v>
      </c>
      <c r="F36" s="16">
        <v>1447</v>
      </c>
      <c r="G36" s="16">
        <v>1731</v>
      </c>
      <c r="H36" s="16">
        <v>1907</v>
      </c>
      <c r="I36" s="16">
        <v>1795</v>
      </c>
      <c r="J36" s="16">
        <v>2602</v>
      </c>
      <c r="K36" s="16">
        <v>3871</v>
      </c>
      <c r="L36" s="16">
        <v>4637</v>
      </c>
      <c r="M36" s="16">
        <v>4889</v>
      </c>
      <c r="N36" s="1"/>
      <c r="O36" s="1"/>
    </row>
    <row r="37" spans="2:15" x14ac:dyDescent="0.3">
      <c r="B37" t="s">
        <v>28</v>
      </c>
      <c r="C37" s="16">
        <v>229</v>
      </c>
      <c r="D37" s="16">
        <v>204</v>
      </c>
      <c r="E37" s="16">
        <v>424</v>
      </c>
      <c r="F37" s="16">
        <v>801</v>
      </c>
      <c r="G37" s="16">
        <v>405</v>
      </c>
      <c r="H37" s="16">
        <v>445</v>
      </c>
      <c r="I37" s="16">
        <v>783</v>
      </c>
      <c r="J37" s="16">
        <v>611</v>
      </c>
      <c r="K37" s="16">
        <v>864</v>
      </c>
      <c r="L37" s="16">
        <v>844</v>
      </c>
      <c r="M37" s="16">
        <v>1084</v>
      </c>
      <c r="O37" s="1"/>
    </row>
    <row r="38" spans="2:15" x14ac:dyDescent="0.3">
      <c r="B38" t="s">
        <v>29</v>
      </c>
      <c r="C38" s="16">
        <v>7</v>
      </c>
      <c r="D38" s="16">
        <v>8</v>
      </c>
      <c r="E38" s="16">
        <v>9</v>
      </c>
      <c r="F38" s="16">
        <v>14</v>
      </c>
      <c r="G38" s="16">
        <v>13</v>
      </c>
      <c r="H38" s="16">
        <v>16</v>
      </c>
      <c r="I38" s="16">
        <v>12</v>
      </c>
      <c r="J38" s="16">
        <v>12</v>
      </c>
      <c r="K38" s="16">
        <v>8</v>
      </c>
      <c r="L38" s="16">
        <v>12</v>
      </c>
      <c r="M38" s="16">
        <v>17</v>
      </c>
      <c r="O38" s="1"/>
    </row>
    <row r="39" spans="2:15" x14ac:dyDescent="0.3">
      <c r="B39" t="s">
        <v>30</v>
      </c>
      <c r="C39" s="16">
        <v>603</v>
      </c>
      <c r="D39" s="16">
        <v>817</v>
      </c>
      <c r="E39" s="16">
        <v>705</v>
      </c>
      <c r="F39" s="16">
        <v>1303</v>
      </c>
      <c r="G39" s="16">
        <v>1678</v>
      </c>
      <c r="H39" s="16">
        <v>1456</v>
      </c>
      <c r="I39" s="16">
        <v>1727</v>
      </c>
      <c r="J39" s="16">
        <v>2554</v>
      </c>
      <c r="K39" s="16">
        <v>2869</v>
      </c>
      <c r="L39" s="16">
        <v>3024</v>
      </c>
      <c r="M39" s="16">
        <v>3555</v>
      </c>
      <c r="N39" s="1"/>
      <c r="O39" s="1"/>
    </row>
    <row r="40" spans="2:15" s="10" customFormat="1" x14ac:dyDescent="0.3">
      <c r="B40" s="10" t="s">
        <v>31</v>
      </c>
      <c r="C40" s="11">
        <v>8075</v>
      </c>
      <c r="D40" s="11">
        <v>8914</v>
      </c>
      <c r="E40" s="11">
        <v>10559</v>
      </c>
      <c r="F40" s="11">
        <v>12405</v>
      </c>
      <c r="G40" s="11">
        <v>13763</v>
      </c>
      <c r="H40" s="11">
        <v>16249</v>
      </c>
      <c r="I40" s="11">
        <v>16138</v>
      </c>
      <c r="J40" s="11">
        <v>20355</v>
      </c>
      <c r="K40" s="11">
        <v>22958</v>
      </c>
      <c r="L40" s="11">
        <v>25779</v>
      </c>
      <c r="M40" s="11">
        <v>29901</v>
      </c>
      <c r="N40" s="11"/>
      <c r="O40" s="11"/>
    </row>
    <row r="43" spans="2:15" x14ac:dyDescent="0.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2:15" x14ac:dyDescent="0.3">
      <c r="B44" s="17" t="s">
        <v>50</v>
      </c>
      <c r="C44" s="17">
        <v>1402</v>
      </c>
      <c r="D44" s="17">
        <v>1188</v>
      </c>
      <c r="E44" s="17">
        <v>2243</v>
      </c>
      <c r="F44" s="17">
        <v>1527</v>
      </c>
      <c r="G44" s="17">
        <v>2113</v>
      </c>
      <c r="H44" s="17">
        <v>2470</v>
      </c>
      <c r="I44" s="17">
        <v>3038</v>
      </c>
      <c r="J44" s="17">
        <v>3683</v>
      </c>
      <c r="K44" s="17">
        <v>986</v>
      </c>
      <c r="L44" s="17">
        <v>4193</v>
      </c>
      <c r="M44" s="17">
        <v>6104</v>
      </c>
      <c r="N44" s="1"/>
    </row>
    <row r="45" spans="2:15" x14ac:dyDescent="0.3">
      <c r="B45" s="17" t="s">
        <v>51</v>
      </c>
      <c r="C45" s="17">
        <v>2051</v>
      </c>
      <c r="D45" s="17">
        <v>2271</v>
      </c>
      <c r="E45" s="17">
        <v>2848</v>
      </c>
      <c r="F45" s="17">
        <v>3056</v>
      </c>
      <c r="G45" s="17">
        <v>3274</v>
      </c>
      <c r="H45" s="17">
        <v>3861</v>
      </c>
      <c r="I45" s="17">
        <v>4380</v>
      </c>
      <c r="J45" s="17">
        <v>4970</v>
      </c>
      <c r="K45" s="17">
        <v>4957</v>
      </c>
      <c r="L45" s="17">
        <v>6460</v>
      </c>
      <c r="M45" s="17">
        <v>7929</v>
      </c>
      <c r="N45" s="1"/>
    </row>
    <row r="46" spans="2:15" x14ac:dyDescent="0.3">
      <c r="B46" s="17" t="s">
        <v>52</v>
      </c>
      <c r="C46" s="17">
        <v>-254</v>
      </c>
      <c r="D46" s="17">
        <v>-155</v>
      </c>
      <c r="E46" s="17">
        <v>-146</v>
      </c>
      <c r="F46" s="17">
        <v>-475</v>
      </c>
      <c r="G46" s="17">
        <v>-483</v>
      </c>
      <c r="H46" s="17">
        <v>-205</v>
      </c>
      <c r="I46" s="17">
        <v>160</v>
      </c>
      <c r="J46" s="17">
        <v>-1342</v>
      </c>
      <c r="K46" s="17">
        <v>-1326</v>
      </c>
      <c r="L46" s="17">
        <v>-834</v>
      </c>
      <c r="M46" s="17">
        <v>-362</v>
      </c>
    </row>
    <row r="47" spans="2:15" x14ac:dyDescent="0.3">
      <c r="B47" s="17" t="s">
        <v>53</v>
      </c>
      <c r="C47" s="17">
        <v>-231</v>
      </c>
      <c r="D47" s="17">
        <v>-144</v>
      </c>
      <c r="E47" s="17">
        <v>202</v>
      </c>
      <c r="F47" s="17">
        <v>-629</v>
      </c>
      <c r="G47" s="17">
        <v>-39</v>
      </c>
      <c r="H47" s="17">
        <v>-492</v>
      </c>
      <c r="I47" s="17">
        <v>-251</v>
      </c>
      <c r="J47" s="17">
        <v>-409</v>
      </c>
      <c r="K47" s="17">
        <v>-2354</v>
      </c>
      <c r="L47" s="17">
        <v>-56</v>
      </c>
      <c r="M47" s="17">
        <v>315</v>
      </c>
    </row>
    <row r="48" spans="2:15" x14ac:dyDescent="0.3">
      <c r="B48" s="17" t="s">
        <v>54</v>
      </c>
      <c r="C48" s="17">
        <v>317</v>
      </c>
      <c r="D48" s="17">
        <v>-151</v>
      </c>
      <c r="E48" s="17">
        <v>142</v>
      </c>
      <c r="F48" s="17">
        <v>501</v>
      </c>
      <c r="G48" s="17">
        <v>442</v>
      </c>
      <c r="H48" s="17">
        <v>287</v>
      </c>
      <c r="I48" s="17">
        <v>-241</v>
      </c>
      <c r="J48" s="17">
        <v>1544</v>
      </c>
      <c r="K48" s="17">
        <v>644</v>
      </c>
      <c r="L48" s="17">
        <v>-539</v>
      </c>
      <c r="M48" s="17">
        <v>269</v>
      </c>
    </row>
    <row r="49" spans="2:14" x14ac:dyDescent="0.3">
      <c r="B49" s="17" t="s">
        <v>55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242</v>
      </c>
      <c r="L49" s="17">
        <v>657</v>
      </c>
      <c r="M49" s="17">
        <v>-212</v>
      </c>
    </row>
    <row r="50" spans="2:14" x14ac:dyDescent="0.3">
      <c r="B50" s="17" t="s">
        <v>56</v>
      </c>
      <c r="C50" s="17">
        <v>-168</v>
      </c>
      <c r="D50" s="17">
        <v>-450</v>
      </c>
      <c r="E50" s="17">
        <v>198</v>
      </c>
      <c r="F50" s="17">
        <v>-603</v>
      </c>
      <c r="G50" s="17">
        <v>-80</v>
      </c>
      <c r="H50" s="17">
        <v>-410</v>
      </c>
      <c r="I50" s="17">
        <v>-331</v>
      </c>
      <c r="J50" s="17">
        <v>-206</v>
      </c>
      <c r="K50" s="17">
        <v>-2795</v>
      </c>
      <c r="L50" s="17">
        <v>-772</v>
      </c>
      <c r="M50" s="17">
        <v>10</v>
      </c>
    </row>
    <row r="51" spans="2:14" x14ac:dyDescent="0.3">
      <c r="B51" s="17" t="s">
        <v>57</v>
      </c>
      <c r="C51" s="17">
        <v>-480</v>
      </c>
      <c r="D51" s="17">
        <v>-633</v>
      </c>
      <c r="E51" s="17">
        <v>-802</v>
      </c>
      <c r="F51" s="17">
        <v>-925</v>
      </c>
      <c r="G51" s="17">
        <v>-1081</v>
      </c>
      <c r="H51" s="17">
        <v>-982</v>
      </c>
      <c r="I51" s="17">
        <v>-1011</v>
      </c>
      <c r="J51" s="17">
        <v>-1080</v>
      </c>
      <c r="K51" s="17">
        <v>-1176</v>
      </c>
      <c r="L51" s="17">
        <v>-1494</v>
      </c>
      <c r="M51" s="17">
        <v>-1835</v>
      </c>
      <c r="N51" s="1"/>
    </row>
    <row r="52" spans="2:14" x14ac:dyDescent="0.3">
      <c r="B52" s="17" t="s">
        <v>58</v>
      </c>
      <c r="C52" s="17">
        <v>-586</v>
      </c>
      <c r="D52" s="17">
        <v>-465</v>
      </c>
      <c r="E52" s="17">
        <v>-866</v>
      </c>
      <c r="F52" s="17">
        <v>-681</v>
      </c>
      <c r="G52" s="17">
        <v>-1556</v>
      </c>
      <c r="H52" s="17">
        <v>-918</v>
      </c>
      <c r="I52" s="17">
        <v>-518</v>
      </c>
      <c r="J52" s="17">
        <v>-541</v>
      </c>
      <c r="K52" s="17">
        <v>-317</v>
      </c>
      <c r="L52" s="17">
        <v>-1282</v>
      </c>
      <c r="M52" s="17">
        <v>-2548</v>
      </c>
    </row>
    <row r="53" spans="2:14" x14ac:dyDescent="0.3">
      <c r="B53" s="17" t="s">
        <v>59</v>
      </c>
      <c r="C53" s="17">
        <v>-251</v>
      </c>
      <c r="D53" s="17">
        <v>-454</v>
      </c>
      <c r="E53" s="17">
        <v>-817</v>
      </c>
      <c r="F53" s="17">
        <v>-684</v>
      </c>
      <c r="G53" s="17">
        <v>-1426</v>
      </c>
      <c r="H53" s="17">
        <v>-1151</v>
      </c>
      <c r="I53" s="17">
        <v>-414</v>
      </c>
      <c r="J53" s="17">
        <v>-289</v>
      </c>
      <c r="K53" s="17">
        <v>-551</v>
      </c>
      <c r="L53" s="17">
        <v>-1446</v>
      </c>
      <c r="M53" s="17">
        <v>-2496</v>
      </c>
      <c r="N53" s="1"/>
    </row>
    <row r="54" spans="2:14" x14ac:dyDescent="0.3">
      <c r="B54" s="17" t="s">
        <v>60</v>
      </c>
      <c r="C54" s="17">
        <v>16</v>
      </c>
      <c r="D54" s="17">
        <v>16</v>
      </c>
      <c r="E54" s="17">
        <v>15</v>
      </c>
      <c r="F54" s="17">
        <v>17</v>
      </c>
      <c r="G54" s="17">
        <v>17</v>
      </c>
      <c r="H54" s="17">
        <v>17</v>
      </c>
      <c r="I54" s="17">
        <v>37</v>
      </c>
      <c r="J54" s="17">
        <v>28</v>
      </c>
      <c r="K54" s="17">
        <v>40</v>
      </c>
      <c r="L54" s="17">
        <v>26</v>
      </c>
      <c r="M54" s="17">
        <v>5</v>
      </c>
    </row>
    <row r="55" spans="2:14" x14ac:dyDescent="0.3">
      <c r="B55" s="17" t="s">
        <v>61</v>
      </c>
      <c r="C55" s="17">
        <v>-872</v>
      </c>
      <c r="D55" s="17">
        <v>-243</v>
      </c>
      <c r="E55" s="17">
        <v>-282</v>
      </c>
      <c r="F55" s="17">
        <v>-153</v>
      </c>
      <c r="G55" s="17">
        <v>-320</v>
      </c>
      <c r="H55" s="17">
        <v>-573</v>
      </c>
      <c r="I55" s="17">
        <v>-25</v>
      </c>
      <c r="J55" s="17">
        <v>-140</v>
      </c>
      <c r="K55" s="17">
        <v>0</v>
      </c>
      <c r="L55" s="17">
        <v>-146</v>
      </c>
      <c r="M55" s="17">
        <v>-212</v>
      </c>
    </row>
    <row r="56" spans="2:14" x14ac:dyDescent="0.3">
      <c r="B56" s="17" t="s">
        <v>62</v>
      </c>
      <c r="C56" s="17">
        <v>463</v>
      </c>
      <c r="D56" s="17">
        <v>278</v>
      </c>
      <c r="E56" s="17">
        <v>205</v>
      </c>
      <c r="F56" s="17">
        <v>357</v>
      </c>
      <c r="G56" s="17">
        <v>362</v>
      </c>
      <c r="H56" s="17">
        <v>733</v>
      </c>
      <c r="I56" s="17">
        <v>118</v>
      </c>
      <c r="J56" s="17">
        <v>272</v>
      </c>
      <c r="K56" s="17">
        <v>207</v>
      </c>
      <c r="L56" s="17">
        <v>446</v>
      </c>
      <c r="M56" s="17">
        <v>240</v>
      </c>
    </row>
    <row r="57" spans="2:14" x14ac:dyDescent="0.3">
      <c r="B57" s="17" t="s">
        <v>63</v>
      </c>
      <c r="C57" s="17">
        <v>14</v>
      </c>
      <c r="D57" s="17">
        <v>11</v>
      </c>
      <c r="E57" s="17">
        <v>15</v>
      </c>
      <c r="F57" s="17">
        <v>32</v>
      </c>
      <c r="G57" s="17">
        <v>39</v>
      </c>
      <c r="H57" s="17">
        <v>40</v>
      </c>
      <c r="I57" s="17">
        <v>65</v>
      </c>
      <c r="J57" s="17">
        <v>73</v>
      </c>
      <c r="K57" s="17">
        <v>77</v>
      </c>
      <c r="L57" s="17">
        <v>87</v>
      </c>
      <c r="M57" s="17">
        <v>135</v>
      </c>
    </row>
    <row r="58" spans="2:14" x14ac:dyDescent="0.3">
      <c r="B58" s="17" t="s">
        <v>64</v>
      </c>
      <c r="C58" s="17">
        <v>65</v>
      </c>
      <c r="D58" s="17">
        <v>71</v>
      </c>
      <c r="E58" s="17">
        <v>69</v>
      </c>
      <c r="F58" s="17">
        <v>74</v>
      </c>
      <c r="G58" s="17">
        <v>38</v>
      </c>
      <c r="H58" s="17">
        <v>40</v>
      </c>
      <c r="I58" s="17">
        <v>27</v>
      </c>
      <c r="J58" s="17">
        <v>8</v>
      </c>
      <c r="K58" s="17">
        <v>15</v>
      </c>
      <c r="L58" s="17">
        <v>56</v>
      </c>
      <c r="M58" s="17">
        <v>129</v>
      </c>
    </row>
    <row r="59" spans="2:14" x14ac:dyDescent="0.3">
      <c r="B59" s="17" t="s">
        <v>65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-180</v>
      </c>
      <c r="M59" s="17">
        <v>0</v>
      </c>
    </row>
    <row r="60" spans="2:14" x14ac:dyDescent="0.3">
      <c r="B60" s="17" t="s">
        <v>66</v>
      </c>
      <c r="C60" s="17">
        <v>0</v>
      </c>
      <c r="D60" s="17">
        <v>0</v>
      </c>
      <c r="E60" s="17">
        <v>0</v>
      </c>
      <c r="F60" s="17">
        <v>0</v>
      </c>
      <c r="G60" s="17">
        <v>141</v>
      </c>
      <c r="H60" s="17">
        <v>0</v>
      </c>
      <c r="I60" s="17">
        <v>17</v>
      </c>
      <c r="J60" s="17">
        <v>0</v>
      </c>
      <c r="K60" s="17">
        <v>0</v>
      </c>
      <c r="L60" s="17">
        <v>0</v>
      </c>
      <c r="M60" s="17">
        <v>0</v>
      </c>
    </row>
    <row r="61" spans="2:14" x14ac:dyDescent="0.3">
      <c r="B61" s="17" t="s">
        <v>67</v>
      </c>
      <c r="C61" s="17">
        <v>0</v>
      </c>
      <c r="D61" s="17">
        <v>0</v>
      </c>
      <c r="E61" s="17">
        <v>0</v>
      </c>
      <c r="F61" s="17">
        <v>0</v>
      </c>
      <c r="G61" s="17">
        <v>-525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</row>
    <row r="62" spans="2:14" x14ac:dyDescent="0.3">
      <c r="B62" s="17" t="s">
        <v>68</v>
      </c>
      <c r="C62" s="17">
        <v>-21</v>
      </c>
      <c r="D62" s="17">
        <v>-144</v>
      </c>
      <c r="E62" s="17">
        <v>-70</v>
      </c>
      <c r="F62" s="17">
        <v>-324</v>
      </c>
      <c r="G62" s="17">
        <v>118</v>
      </c>
      <c r="H62" s="17">
        <v>-24</v>
      </c>
      <c r="I62" s="17">
        <v>-343</v>
      </c>
      <c r="J62" s="17">
        <v>-493</v>
      </c>
      <c r="K62" s="17">
        <v>-105</v>
      </c>
      <c r="L62" s="17">
        <v>-126</v>
      </c>
      <c r="M62" s="17">
        <v>-350</v>
      </c>
    </row>
    <row r="63" spans="2:14" x14ac:dyDescent="0.3">
      <c r="B63" s="17" t="s">
        <v>69</v>
      </c>
      <c r="C63" s="17">
        <v>-626</v>
      </c>
      <c r="D63" s="17">
        <v>-576</v>
      </c>
      <c r="E63" s="17">
        <v>-849</v>
      </c>
      <c r="F63" s="17">
        <v>-756</v>
      </c>
      <c r="G63" s="17">
        <v>-1379</v>
      </c>
      <c r="H63" s="17">
        <v>-1117</v>
      </c>
      <c r="I63" s="17">
        <v>-2871</v>
      </c>
      <c r="J63" s="17">
        <v>-650</v>
      </c>
      <c r="K63" s="17">
        <v>-1808</v>
      </c>
      <c r="L63" s="17">
        <v>-2140</v>
      </c>
      <c r="M63" s="17">
        <v>-2982</v>
      </c>
      <c r="N63" s="1"/>
    </row>
    <row r="64" spans="2:14" x14ac:dyDescent="0.3">
      <c r="B64" s="17" t="s">
        <v>70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1</v>
      </c>
    </row>
    <row r="65" spans="2:14" x14ac:dyDescent="0.3">
      <c r="B65" s="17" t="s">
        <v>71</v>
      </c>
      <c r="C65" s="17">
        <v>44</v>
      </c>
      <c r="D65" s="17">
        <v>239</v>
      </c>
      <c r="E65" s="17">
        <v>8</v>
      </c>
      <c r="F65" s="17">
        <v>271</v>
      </c>
      <c r="G65" s="17">
        <v>10</v>
      </c>
      <c r="H65" s="17">
        <v>243</v>
      </c>
      <c r="I65" s="17">
        <v>18</v>
      </c>
      <c r="J65" s="17">
        <v>155</v>
      </c>
      <c r="K65" s="17">
        <v>418</v>
      </c>
      <c r="L65" s="17">
        <v>254</v>
      </c>
      <c r="M65" s="17">
        <v>101</v>
      </c>
    </row>
    <row r="66" spans="2:14" x14ac:dyDescent="0.3">
      <c r="B66" s="17" t="s">
        <v>72</v>
      </c>
      <c r="C66" s="17">
        <v>-81</v>
      </c>
      <c r="D66" s="17">
        <v>-86</v>
      </c>
      <c r="E66" s="17">
        <v>-119</v>
      </c>
      <c r="F66" s="17">
        <v>-58</v>
      </c>
      <c r="G66" s="17">
        <v>-54</v>
      </c>
      <c r="H66" s="17">
        <v>-26</v>
      </c>
      <c r="I66" s="17">
        <v>-482</v>
      </c>
      <c r="J66" s="17">
        <v>-14</v>
      </c>
      <c r="K66" s="17">
        <v>-8</v>
      </c>
      <c r="L66" s="17">
        <v>-25</v>
      </c>
      <c r="M66" s="17">
        <v>-98</v>
      </c>
    </row>
    <row r="67" spans="2:14" x14ac:dyDescent="0.3">
      <c r="B67" s="17" t="s">
        <v>73</v>
      </c>
      <c r="C67" s="17">
        <v>-42</v>
      </c>
      <c r="D67" s="17">
        <v>-35</v>
      </c>
      <c r="E67" s="17">
        <v>-40</v>
      </c>
      <c r="F67" s="17">
        <v>-36</v>
      </c>
      <c r="G67" s="17">
        <v>-35</v>
      </c>
      <c r="H67" s="17">
        <v>-106</v>
      </c>
      <c r="I67" s="17">
        <v>-101</v>
      </c>
      <c r="J67" s="17">
        <v>-89</v>
      </c>
      <c r="K67" s="17">
        <v>-94</v>
      </c>
      <c r="L67" s="17">
        <v>-142</v>
      </c>
      <c r="M67" s="17">
        <v>-191</v>
      </c>
    </row>
    <row r="68" spans="2:14" x14ac:dyDescent="0.3">
      <c r="B68" s="17" t="s">
        <v>74</v>
      </c>
      <c r="C68" s="17">
        <v>-547</v>
      </c>
      <c r="D68" s="17">
        <v>-695</v>
      </c>
      <c r="E68" s="17">
        <v>-764</v>
      </c>
      <c r="F68" s="17">
        <v>-947</v>
      </c>
      <c r="G68" s="17">
        <v>-1218</v>
      </c>
      <c r="H68" s="17">
        <v>-1049</v>
      </c>
      <c r="I68" s="17">
        <v>-2121</v>
      </c>
      <c r="J68" s="17">
        <v>-499</v>
      </c>
      <c r="K68" s="17">
        <v>-1763</v>
      </c>
      <c r="L68" s="17">
        <v>-1936</v>
      </c>
      <c r="M68" s="17">
        <v>-2551</v>
      </c>
      <c r="N68" s="1"/>
    </row>
    <row r="69" spans="2:14" x14ac:dyDescent="0.3">
      <c r="B69" s="17" t="s">
        <v>75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-180</v>
      </c>
      <c r="I69" s="17">
        <v>-179</v>
      </c>
      <c r="J69" s="17">
        <v>-203</v>
      </c>
      <c r="K69" s="17">
        <v>-221</v>
      </c>
      <c r="L69" s="17">
        <v>-256</v>
      </c>
      <c r="M69" s="17">
        <v>-286</v>
      </c>
    </row>
    <row r="70" spans="2:14" x14ac:dyDescent="0.3">
      <c r="B70" s="17" t="s">
        <v>76</v>
      </c>
      <c r="C70" s="17">
        <v>0</v>
      </c>
      <c r="D70" s="17">
        <v>0</v>
      </c>
      <c r="E70" s="17">
        <v>66</v>
      </c>
      <c r="F70" s="17">
        <v>13</v>
      </c>
      <c r="G70" s="17">
        <v>-82</v>
      </c>
      <c r="H70" s="17">
        <v>0</v>
      </c>
      <c r="I70" s="17">
        <v>-6</v>
      </c>
      <c r="J70" s="17">
        <v>0</v>
      </c>
      <c r="K70" s="17">
        <v>-140</v>
      </c>
      <c r="L70" s="17">
        <v>-36</v>
      </c>
      <c r="M70" s="17">
        <v>41</v>
      </c>
    </row>
    <row r="71" spans="2:14" x14ac:dyDescent="0.3">
      <c r="B71" s="17" t="s">
        <v>77</v>
      </c>
      <c r="C71" s="17">
        <v>190</v>
      </c>
      <c r="D71" s="17">
        <v>147</v>
      </c>
      <c r="E71" s="17">
        <v>528</v>
      </c>
      <c r="F71" s="17">
        <v>90</v>
      </c>
      <c r="G71" s="17">
        <v>-822</v>
      </c>
      <c r="H71" s="17">
        <v>434</v>
      </c>
      <c r="I71" s="17">
        <v>-351</v>
      </c>
      <c r="J71" s="17">
        <v>2492</v>
      </c>
      <c r="K71" s="17">
        <v>-1138</v>
      </c>
      <c r="L71" s="17">
        <v>771</v>
      </c>
      <c r="M71" s="17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7F62-3C5D-4347-BD9C-A639A8B1953D}">
  <dimension ref="A3:L65"/>
  <sheetViews>
    <sheetView showGridLines="0" workbookViewId="0">
      <pane xSplit="1" ySplit="3" topLeftCell="B43" activePane="bottomRight" state="frozen"/>
      <selection pane="topRight" activeCell="B1" sqref="B1"/>
      <selection pane="bottomLeft" activeCell="A4" sqref="A4"/>
      <selection pane="bottomRight" activeCell="M53" sqref="M53"/>
    </sheetView>
  </sheetViews>
  <sheetFormatPr defaultRowHeight="14.4" x14ac:dyDescent="0.3"/>
  <cols>
    <col min="1" max="1" width="1.88671875" customWidth="1"/>
    <col min="2" max="2" width="27.109375" bestFit="1" customWidth="1"/>
    <col min="7" max="7" width="11.21875" customWidth="1"/>
    <col min="8" max="8" width="20.33203125" bestFit="1" customWidth="1"/>
    <col min="9" max="9" width="20.88671875" bestFit="1" customWidth="1"/>
    <col min="10" max="10" width="20.21875" bestFit="1" customWidth="1"/>
    <col min="11" max="11" width="19.88671875" bestFit="1" customWidth="1"/>
  </cols>
  <sheetData>
    <row r="3" spans="2:11" s="10" customFormat="1" x14ac:dyDescent="0.3">
      <c r="B3" s="26" t="s">
        <v>36</v>
      </c>
      <c r="C3" s="27"/>
      <c r="D3" s="27"/>
      <c r="E3" s="27"/>
      <c r="F3" s="27"/>
      <c r="G3" s="28">
        <f>'DATA ROOM 1'!I2</f>
        <v>44256</v>
      </c>
      <c r="H3" s="28">
        <f>'DATA ROOM 1'!J2</f>
        <v>44621</v>
      </c>
      <c r="I3" s="28">
        <f>'DATA ROOM 1'!K2</f>
        <v>44986</v>
      </c>
      <c r="J3" s="28">
        <f>'DATA ROOM 1'!L2</f>
        <v>45352</v>
      </c>
      <c r="K3" s="28">
        <f>'DATA ROOM 1'!M2</f>
        <v>45717</v>
      </c>
    </row>
    <row r="5" spans="2:11" x14ac:dyDescent="0.3">
      <c r="B5" s="10" t="s">
        <v>37</v>
      </c>
    </row>
    <row r="6" spans="2:11" x14ac:dyDescent="0.3">
      <c r="B6" s="2" t="str">
        <f>'DATA ROOM 1'!B35</f>
        <v>Inventories</v>
      </c>
      <c r="C6" s="2"/>
      <c r="D6" s="2"/>
      <c r="E6" s="2"/>
      <c r="F6" s="2"/>
      <c r="G6" s="16">
        <f>'DATA ROOM 1'!I35</f>
        <v>3390</v>
      </c>
      <c r="H6" s="16">
        <f>'DATA ROOM 1'!J35</f>
        <v>3799</v>
      </c>
      <c r="I6" s="16">
        <f>'DATA ROOM 1'!K35</f>
        <v>6153</v>
      </c>
      <c r="J6" s="16">
        <f>'DATA ROOM 1'!L35</f>
        <v>6211</v>
      </c>
      <c r="K6" s="16">
        <f>'DATA ROOM 1'!M35</f>
        <v>5923</v>
      </c>
    </row>
    <row r="7" spans="2:11" x14ac:dyDescent="0.3">
      <c r="B7" s="2" t="str">
        <f>'DATA ROOM 1'!B36</f>
        <v>Trade receivables +</v>
      </c>
      <c r="C7" s="2"/>
      <c r="D7" s="2"/>
      <c r="E7" s="2"/>
      <c r="F7" s="2"/>
      <c r="G7" s="16">
        <f>'DATA ROOM 1'!I36</f>
        <v>1795</v>
      </c>
      <c r="H7" s="16">
        <f>'DATA ROOM 1'!J36</f>
        <v>2602</v>
      </c>
      <c r="I7" s="16">
        <f>'DATA ROOM 1'!K36</f>
        <v>3871</v>
      </c>
      <c r="J7" s="16">
        <f>'DATA ROOM 1'!L36</f>
        <v>4637</v>
      </c>
      <c r="K7" s="16">
        <f>'DATA ROOM 1'!M36</f>
        <v>4889</v>
      </c>
    </row>
    <row r="8" spans="2:11" x14ac:dyDescent="0.3">
      <c r="B8" s="2" t="str">
        <f>'DATA ROOM 1'!B38</f>
        <v>Loans n Advances</v>
      </c>
      <c r="C8" s="2"/>
      <c r="D8" s="2"/>
      <c r="E8" s="2"/>
      <c r="F8" s="2"/>
      <c r="G8" s="16">
        <f>'DATA ROOM 1'!I38</f>
        <v>12</v>
      </c>
      <c r="H8" s="16">
        <f>'DATA ROOM 1'!J38</f>
        <v>12</v>
      </c>
      <c r="I8" s="16">
        <f>'DATA ROOM 1'!K38</f>
        <v>8</v>
      </c>
      <c r="J8" s="16">
        <f>'DATA ROOM 1'!L38</f>
        <v>12</v>
      </c>
      <c r="K8" s="16">
        <f>'DATA ROOM 1'!M38</f>
        <v>17</v>
      </c>
    </row>
    <row r="9" spans="2:11" x14ac:dyDescent="0.3">
      <c r="B9" t="str">
        <f>'DATA ROOM 1'!B39</f>
        <v>Other asset items</v>
      </c>
      <c r="G9" s="17">
        <f>'DATA ROOM 1'!I39</f>
        <v>1727</v>
      </c>
      <c r="H9" s="17">
        <f>'DATA ROOM 1'!J39</f>
        <v>2554</v>
      </c>
      <c r="I9" s="17">
        <f>'DATA ROOM 1'!K39</f>
        <v>2869</v>
      </c>
      <c r="J9" s="17">
        <f>'DATA ROOM 1'!L39</f>
        <v>3024</v>
      </c>
      <c r="K9" s="17">
        <f>'DATA ROOM 1'!M39</f>
        <v>3555</v>
      </c>
    </row>
    <row r="10" spans="2:11" x14ac:dyDescent="0.3">
      <c r="B10" s="19" t="s">
        <v>38</v>
      </c>
      <c r="C10" s="18"/>
      <c r="D10" s="18"/>
      <c r="E10" s="18"/>
      <c r="F10" s="18"/>
      <c r="G10" s="30">
        <f>SUM(G6:G9)</f>
        <v>6924</v>
      </c>
      <c r="H10" s="30">
        <f t="shared" ref="H10:K10" si="0">SUM(H6:H9)</f>
        <v>8967</v>
      </c>
      <c r="I10" s="30">
        <f t="shared" si="0"/>
        <v>12901</v>
      </c>
      <c r="J10" s="30">
        <f t="shared" si="0"/>
        <v>13884</v>
      </c>
      <c r="K10" s="30">
        <f t="shared" si="0"/>
        <v>14384</v>
      </c>
    </row>
    <row r="11" spans="2:11" x14ac:dyDescent="0.3">
      <c r="G11" s="17"/>
      <c r="H11" s="17"/>
      <c r="I11" s="17"/>
      <c r="J11" s="17"/>
      <c r="K11" s="17"/>
    </row>
    <row r="12" spans="2:11" x14ac:dyDescent="0.3">
      <c r="G12" s="17"/>
      <c r="H12" s="17"/>
      <c r="I12" s="17"/>
      <c r="J12" s="17"/>
      <c r="K12" s="17"/>
    </row>
    <row r="13" spans="2:11" x14ac:dyDescent="0.3">
      <c r="B13" s="10" t="s">
        <v>39</v>
      </c>
      <c r="G13" s="17"/>
      <c r="H13" s="17"/>
      <c r="I13" s="17"/>
      <c r="J13" s="17"/>
      <c r="K13" s="17"/>
    </row>
    <row r="14" spans="2:11" x14ac:dyDescent="0.3">
      <c r="B14" s="2" t="str">
        <f>'DATA ROOM 1'!B13</f>
        <v>Trade Payables</v>
      </c>
      <c r="C14" s="2"/>
      <c r="D14" s="2"/>
      <c r="E14" s="2"/>
      <c r="F14" s="2"/>
      <c r="G14" s="16">
        <f>'DATA ROOM 1'!I13</f>
        <v>2137</v>
      </c>
      <c r="H14" s="16">
        <f>'DATA ROOM 1'!J13</f>
        <v>3379</v>
      </c>
      <c r="I14" s="16">
        <f>'DATA ROOM 1'!K13</f>
        <v>4164</v>
      </c>
      <c r="J14" s="16">
        <f>'DATA ROOM 1'!L13</f>
        <v>3635</v>
      </c>
      <c r="K14" s="16">
        <f>'DATA ROOM 1'!M13</f>
        <v>3831</v>
      </c>
    </row>
    <row r="15" spans="2:11" x14ac:dyDescent="0.3">
      <c r="B15" s="2" t="str">
        <f>'DATA ROOM 1'!B14</f>
        <v>Advance from Customers</v>
      </c>
      <c r="C15" s="2"/>
      <c r="D15" s="2"/>
      <c r="E15" s="2"/>
      <c r="F15" s="2"/>
      <c r="G15" s="16">
        <f>'DATA ROOM 1'!I14</f>
        <v>29</v>
      </c>
      <c r="H15" s="16">
        <f>'DATA ROOM 1'!J14</f>
        <v>41</v>
      </c>
      <c r="I15" s="16">
        <f>'DATA ROOM 1'!K14</f>
        <v>76</v>
      </c>
      <c r="J15" s="16">
        <f>'DATA ROOM 1'!L14</f>
        <v>108</v>
      </c>
      <c r="K15" s="16">
        <f>'DATA ROOM 1'!M14</f>
        <v>154</v>
      </c>
    </row>
    <row r="16" spans="2:11" x14ac:dyDescent="0.3">
      <c r="B16" t="str">
        <f>'DATA ROOM 1'!B15</f>
        <v>Other liability items</v>
      </c>
      <c r="G16" s="16">
        <f>'DATA ROOM 1'!I15</f>
        <v>2320</v>
      </c>
      <c r="H16" s="16">
        <f>'DATA ROOM 1'!J15</f>
        <v>2613</v>
      </c>
      <c r="I16" s="16">
        <f>'DATA ROOM 1'!K15</f>
        <v>2932</v>
      </c>
      <c r="J16" s="16">
        <f>'DATA ROOM 1'!L15</f>
        <v>3657</v>
      </c>
      <c r="K16" s="16">
        <f>'DATA ROOM 1'!M15</f>
        <v>4017</v>
      </c>
    </row>
    <row r="17" spans="1:11" x14ac:dyDescent="0.3">
      <c r="B17" s="19" t="s">
        <v>40</v>
      </c>
      <c r="C17" s="18"/>
      <c r="D17" s="18"/>
      <c r="E17" s="18"/>
      <c r="F17" s="18"/>
      <c r="G17" s="30">
        <f>SUM(G14:G16)</f>
        <v>4486</v>
      </c>
      <c r="H17" s="30">
        <f t="shared" ref="H17:K17" si="1">SUM(H14:H16)</f>
        <v>6033</v>
      </c>
      <c r="I17" s="30">
        <f t="shared" si="1"/>
        <v>7172</v>
      </c>
      <c r="J17" s="30">
        <f t="shared" si="1"/>
        <v>7400</v>
      </c>
      <c r="K17" s="30">
        <f t="shared" si="1"/>
        <v>8002</v>
      </c>
    </row>
    <row r="18" spans="1:11" x14ac:dyDescent="0.3">
      <c r="G18" s="17"/>
      <c r="H18" s="17"/>
      <c r="I18" s="17"/>
      <c r="J18" s="17"/>
      <c r="K18" s="17"/>
    </row>
    <row r="19" spans="1:11" x14ac:dyDescent="0.3">
      <c r="G19" s="17"/>
      <c r="H19" s="17"/>
      <c r="I19" s="17"/>
      <c r="J19" s="17"/>
      <c r="K19" s="17"/>
    </row>
    <row r="20" spans="1:11" x14ac:dyDescent="0.3">
      <c r="A20" t="s">
        <v>46</v>
      </c>
      <c r="B20" s="13" t="s">
        <v>41</v>
      </c>
      <c r="C20" s="2"/>
      <c r="D20" s="2"/>
      <c r="E20" s="2"/>
      <c r="F20" s="2"/>
      <c r="G20" s="31">
        <f>G10-G18</f>
        <v>6924</v>
      </c>
      <c r="H20" s="31">
        <f t="shared" ref="H20:K20" si="2">H10-H18</f>
        <v>8967</v>
      </c>
      <c r="I20" s="31">
        <f t="shared" si="2"/>
        <v>12901</v>
      </c>
      <c r="J20" s="31">
        <f t="shared" si="2"/>
        <v>13884</v>
      </c>
      <c r="K20" s="31">
        <f t="shared" si="2"/>
        <v>14384</v>
      </c>
    </row>
    <row r="21" spans="1:11" x14ac:dyDescent="0.3">
      <c r="G21" s="17"/>
      <c r="H21" s="17"/>
      <c r="I21" s="17"/>
      <c r="J21" s="17"/>
      <c r="K21" s="17"/>
    </row>
    <row r="22" spans="1:11" x14ac:dyDescent="0.3">
      <c r="B22" s="10" t="s">
        <v>42</v>
      </c>
      <c r="G22" s="17"/>
      <c r="H22" s="17"/>
      <c r="I22" s="17"/>
      <c r="J22" s="17"/>
      <c r="K22" s="17"/>
    </row>
    <row r="23" spans="1:11" x14ac:dyDescent="0.3">
      <c r="B23" s="2" t="str">
        <f>'DATA ROOM 1'!B19</f>
        <v>Land</v>
      </c>
      <c r="C23" s="2"/>
      <c r="D23" s="2"/>
      <c r="E23" s="2"/>
      <c r="F23" s="2"/>
      <c r="G23" s="2">
        <f>'DATA ROOM 1'!I19</f>
        <v>640</v>
      </c>
      <c r="H23" s="2">
        <f>'DATA ROOM 1'!J19</f>
        <v>644</v>
      </c>
      <c r="I23" s="2">
        <f>'DATA ROOM 1'!K19</f>
        <v>644</v>
      </c>
      <c r="J23" s="2">
        <f>'DATA ROOM 1'!L19</f>
        <v>804</v>
      </c>
      <c r="K23" s="2">
        <f>'DATA ROOM 1'!M19</f>
        <v>1126</v>
      </c>
    </row>
    <row r="24" spans="1:11" x14ac:dyDescent="0.3">
      <c r="B24" s="2" t="str">
        <f>'DATA ROOM 1'!B20</f>
        <v>Building</v>
      </c>
      <c r="C24" s="2"/>
      <c r="D24" s="2"/>
      <c r="E24" s="2"/>
      <c r="F24" s="2"/>
      <c r="G24" s="2">
        <f>'DATA ROOM 1'!I20</f>
        <v>2257</v>
      </c>
      <c r="H24" s="2">
        <f>'DATA ROOM 1'!J20</f>
        <v>2249</v>
      </c>
      <c r="I24" s="2">
        <f>'DATA ROOM 1'!K20</f>
        <v>2325</v>
      </c>
      <c r="J24" s="2">
        <f>'DATA ROOM 1'!L20</f>
        <v>2883</v>
      </c>
      <c r="K24" s="2">
        <f>'DATA ROOM 1'!M20</f>
        <v>3390</v>
      </c>
    </row>
    <row r="25" spans="1:11" x14ac:dyDescent="0.3">
      <c r="B25" s="2" t="str">
        <f>'DATA ROOM 1'!B21</f>
        <v>Plant Machinery</v>
      </c>
      <c r="C25" s="2"/>
      <c r="D25" s="2"/>
      <c r="E25" s="2"/>
      <c r="F25" s="2"/>
      <c r="G25" s="2">
        <f>'DATA ROOM 1'!I21</f>
        <v>4208</v>
      </c>
      <c r="H25" s="2">
        <f>'DATA ROOM 1'!J21</f>
        <v>4340</v>
      </c>
      <c r="I25" s="2">
        <f>'DATA ROOM 1'!K21</f>
        <v>4531</v>
      </c>
      <c r="J25" s="2">
        <f>'DATA ROOM 1'!L21</f>
        <v>4825</v>
      </c>
      <c r="K25" s="2">
        <f>'DATA ROOM 1'!M21</f>
        <v>5422</v>
      </c>
    </row>
    <row r="26" spans="1:11" x14ac:dyDescent="0.3">
      <c r="B26" s="2" t="str">
        <f>'DATA ROOM 1'!B22</f>
        <v>Equipments</v>
      </c>
      <c r="C26" s="2"/>
      <c r="D26" s="2"/>
      <c r="E26" s="2"/>
      <c r="F26" s="2"/>
      <c r="G26" s="2">
        <f>'DATA ROOM 1'!I22</f>
        <v>241</v>
      </c>
      <c r="H26" s="2">
        <f>'DATA ROOM 1'!J22</f>
        <v>243</v>
      </c>
      <c r="I26" s="2">
        <f>'DATA ROOM 1'!K22</f>
        <v>253</v>
      </c>
      <c r="J26" s="2">
        <f>'DATA ROOM 1'!L22</f>
        <v>270</v>
      </c>
      <c r="K26" s="2">
        <f>'DATA ROOM 1'!M22</f>
        <v>298</v>
      </c>
    </row>
    <row r="27" spans="1:11" x14ac:dyDescent="0.3">
      <c r="B27" s="2" t="str">
        <f>'DATA ROOM 1'!B23</f>
        <v>Furniture n fittings</v>
      </c>
      <c r="C27" s="2"/>
      <c r="D27" s="2"/>
      <c r="E27" s="2"/>
      <c r="F27" s="2"/>
      <c r="G27" s="2">
        <f>'DATA ROOM 1'!I23</f>
        <v>94</v>
      </c>
      <c r="H27" s="2">
        <f>'DATA ROOM 1'!J23</f>
        <v>99</v>
      </c>
      <c r="I27" s="2">
        <f>'DATA ROOM 1'!K23</f>
        <v>113</v>
      </c>
      <c r="J27" s="2">
        <f>'DATA ROOM 1'!L23</f>
        <v>146</v>
      </c>
      <c r="K27" s="2">
        <f>'DATA ROOM 1'!M23</f>
        <v>175</v>
      </c>
    </row>
    <row r="28" spans="1:11" x14ac:dyDescent="0.3">
      <c r="B28" s="2" t="str">
        <f>'DATA ROOM 1'!B24</f>
        <v>Vehicles</v>
      </c>
      <c r="C28" s="2"/>
      <c r="D28" s="2"/>
      <c r="E28" s="2"/>
      <c r="F28" s="2"/>
      <c r="G28" s="2">
        <f>'DATA ROOM 1'!I24</f>
        <v>43</v>
      </c>
      <c r="H28" s="2">
        <f>'DATA ROOM 1'!J24</f>
        <v>38</v>
      </c>
      <c r="I28" s="2">
        <f>'DATA ROOM 1'!K24</f>
        <v>32</v>
      </c>
      <c r="J28" s="2">
        <f>'DATA ROOM 1'!L24</f>
        <v>36</v>
      </c>
      <c r="K28" s="2">
        <f>'DATA ROOM 1'!M24</f>
        <v>40</v>
      </c>
    </row>
    <row r="29" spans="1:11" x14ac:dyDescent="0.3">
      <c r="B29" s="2" t="str">
        <f>'DATA ROOM 1'!B25</f>
        <v>Intangible Assets</v>
      </c>
      <c r="C29" s="2"/>
      <c r="D29" s="2"/>
      <c r="E29" s="2"/>
      <c r="F29" s="2"/>
      <c r="G29" s="2">
        <f>'DATA ROOM 1'!I25</f>
        <v>505</v>
      </c>
      <c r="H29" s="2">
        <f>'DATA ROOM 1'!J25</f>
        <v>476</v>
      </c>
      <c r="I29" s="2">
        <f>'DATA ROOM 1'!K25</f>
        <v>345</v>
      </c>
      <c r="J29" s="2">
        <f>'DATA ROOM 1'!L25</f>
        <v>422</v>
      </c>
      <c r="K29" s="2">
        <f>'DATA ROOM 1'!M25</f>
        <v>850</v>
      </c>
    </row>
    <row r="30" spans="1:11" x14ac:dyDescent="0.3">
      <c r="B30" s="2" t="str">
        <f>'DATA ROOM 1'!B26</f>
        <v>Other fixed assets</v>
      </c>
      <c r="C30" s="2"/>
      <c r="D30" s="2"/>
      <c r="E30" s="2"/>
      <c r="F30" s="2"/>
      <c r="G30" s="2">
        <f>'DATA ROOM 1'!I26</f>
        <v>293</v>
      </c>
      <c r="H30" s="2">
        <f>'DATA ROOM 1'!J26</f>
        <v>302</v>
      </c>
      <c r="I30" s="2">
        <f>'DATA ROOM 1'!K26</f>
        <v>294</v>
      </c>
      <c r="J30" s="2">
        <f>'DATA ROOM 1'!L26</f>
        <v>289</v>
      </c>
      <c r="K30" s="2">
        <f>'DATA ROOM 1'!M26</f>
        <v>321</v>
      </c>
    </row>
    <row r="31" spans="1:11" x14ac:dyDescent="0.3">
      <c r="B31" s="19" t="s">
        <v>22</v>
      </c>
      <c r="C31" s="18"/>
      <c r="D31" s="18"/>
      <c r="E31" s="18"/>
      <c r="F31" s="18"/>
      <c r="G31" s="30">
        <f>SUM(G23:G30)</f>
        <v>8281</v>
      </c>
      <c r="H31" s="30">
        <f t="shared" ref="H31:K31" si="3">SUM(H23:H30)</f>
        <v>8391</v>
      </c>
      <c r="I31" s="30">
        <f t="shared" si="3"/>
        <v>8537</v>
      </c>
      <c r="J31" s="30">
        <f t="shared" si="3"/>
        <v>9675</v>
      </c>
      <c r="K31" s="30">
        <f t="shared" si="3"/>
        <v>11622</v>
      </c>
    </row>
    <row r="32" spans="1:11" x14ac:dyDescent="0.3">
      <c r="B32" s="10" t="s">
        <v>43</v>
      </c>
      <c r="C32" s="10"/>
      <c r="D32" s="10"/>
      <c r="E32" s="10"/>
      <c r="F32" s="10"/>
      <c r="G32" s="32">
        <f>-'DATA ROOM 1'!I28</f>
        <v>-2010</v>
      </c>
      <c r="H32" s="32">
        <f>-'DATA ROOM 1'!J28</f>
        <v>-2533</v>
      </c>
      <c r="I32" s="32">
        <f>-'DATA ROOM 1'!K28</f>
        <v>-3019</v>
      </c>
      <c r="J32" s="32">
        <f>-'DATA ROOM 1'!L28</f>
        <v>-3905</v>
      </c>
      <c r="K32" s="32">
        <f>-'DATA ROOM 1'!M28</f>
        <v>-4475</v>
      </c>
    </row>
    <row r="33" spans="1:11" x14ac:dyDescent="0.3">
      <c r="A33" t="s">
        <v>46</v>
      </c>
      <c r="B33" s="13" t="s">
        <v>44</v>
      </c>
      <c r="C33" s="13"/>
      <c r="D33" s="13"/>
      <c r="E33" s="13"/>
      <c r="F33" s="13"/>
      <c r="G33" s="31">
        <f>SUM(G31:G32)</f>
        <v>6271</v>
      </c>
      <c r="H33" s="31">
        <f t="shared" ref="H33:K33" si="4">SUM(H31:H32)</f>
        <v>5858</v>
      </c>
      <c r="I33" s="31">
        <f t="shared" si="4"/>
        <v>5518</v>
      </c>
      <c r="J33" s="31">
        <f t="shared" si="4"/>
        <v>5770</v>
      </c>
      <c r="K33" s="31">
        <f t="shared" si="4"/>
        <v>7147</v>
      </c>
    </row>
    <row r="34" spans="1:11" x14ac:dyDescent="0.3">
      <c r="G34" s="17"/>
      <c r="H34" s="17"/>
      <c r="I34" s="17"/>
      <c r="J34" s="17"/>
      <c r="K34" s="17"/>
    </row>
    <row r="35" spans="1:11" x14ac:dyDescent="0.3">
      <c r="A35" t="s">
        <v>46</v>
      </c>
      <c r="B35" s="10" t="s">
        <v>45</v>
      </c>
      <c r="G35" s="32">
        <f>G33+G20</f>
        <v>13195</v>
      </c>
      <c r="H35" s="32">
        <f t="shared" ref="H35:K35" si="5">H33+H20</f>
        <v>14825</v>
      </c>
      <c r="I35" s="32">
        <f t="shared" si="5"/>
        <v>18419</v>
      </c>
      <c r="J35" s="32">
        <f t="shared" si="5"/>
        <v>19654</v>
      </c>
      <c r="K35" s="32">
        <f t="shared" si="5"/>
        <v>21531</v>
      </c>
    </row>
    <row r="36" spans="1:11" x14ac:dyDescent="0.3">
      <c r="B36" s="10" t="s">
        <v>47</v>
      </c>
      <c r="G36" s="32">
        <v>9904.09</v>
      </c>
      <c r="H36" s="32">
        <v>1073.7</v>
      </c>
      <c r="I36" s="32">
        <v>-3438.36</v>
      </c>
      <c r="J36" s="32">
        <v>8740.7199999999993</v>
      </c>
      <c r="K36" s="32">
        <v>-115.6</v>
      </c>
    </row>
    <row r="38" spans="1:11" x14ac:dyDescent="0.3">
      <c r="B38" s="13" t="s">
        <v>48</v>
      </c>
      <c r="C38" s="2"/>
      <c r="D38" s="2"/>
      <c r="E38" s="2"/>
      <c r="F38" s="2"/>
      <c r="G38" s="29">
        <f>G36/G35</f>
        <v>0.75059416445623339</v>
      </c>
      <c r="H38" s="29">
        <f t="shared" ref="H38:K38" si="6">H36/H35</f>
        <v>7.2424957841483978E-2</v>
      </c>
      <c r="I38" s="29">
        <f t="shared" si="6"/>
        <v>-0.18667462945871113</v>
      </c>
      <c r="J38" s="29">
        <f t="shared" si="6"/>
        <v>0.44472982598962041</v>
      </c>
      <c r="K38" s="29">
        <f t="shared" si="6"/>
        <v>-5.369002833124332E-3</v>
      </c>
    </row>
    <row r="41" spans="1:11" x14ac:dyDescent="0.3">
      <c r="B41" s="26" t="s">
        <v>49</v>
      </c>
      <c r="C41" s="25"/>
      <c r="D41" s="25"/>
      <c r="E41" s="25"/>
      <c r="F41" s="25"/>
      <c r="G41" s="28">
        <f>G3</f>
        <v>44256</v>
      </c>
      <c r="H41" s="28">
        <f t="shared" ref="H41:K41" si="7">H3</f>
        <v>44621</v>
      </c>
      <c r="I41" s="28">
        <f t="shared" si="7"/>
        <v>44986</v>
      </c>
      <c r="J41" s="28">
        <f t="shared" si="7"/>
        <v>45352</v>
      </c>
      <c r="K41" s="28">
        <f t="shared" si="7"/>
        <v>45717</v>
      </c>
    </row>
    <row r="43" spans="1:11" x14ac:dyDescent="0.3">
      <c r="B43" s="13" t="s">
        <v>78</v>
      </c>
      <c r="C43" s="2"/>
      <c r="D43" s="2"/>
      <c r="E43" s="2"/>
      <c r="F43" s="2"/>
      <c r="G43" s="16">
        <f>-SUM('DATA ROOM 1'!I53:I54)</f>
        <v>377</v>
      </c>
      <c r="H43" s="16">
        <f>-SUM('DATA ROOM 1'!J53:J54)</f>
        <v>261</v>
      </c>
      <c r="I43" s="16">
        <f>-SUM('DATA ROOM 1'!K53:K54)</f>
        <v>511</v>
      </c>
      <c r="J43" s="16">
        <f>-SUM('DATA ROOM 1'!L53:L54)</f>
        <v>1420</v>
      </c>
      <c r="K43" s="16">
        <f>-SUM('DATA ROOM 1'!M53:M54)</f>
        <v>2491</v>
      </c>
    </row>
    <row r="44" spans="1:11" x14ac:dyDescent="0.3">
      <c r="B44" s="2" t="s">
        <v>79</v>
      </c>
      <c r="C44" s="2"/>
      <c r="D44" s="2"/>
      <c r="E44" s="2"/>
      <c r="F44" s="2"/>
      <c r="G44" s="16"/>
      <c r="H44" s="16">
        <f>H20-G20</f>
        <v>2043</v>
      </c>
      <c r="I44" s="16">
        <f t="shared" ref="I44:K44" si="8">I20-H20</f>
        <v>3934</v>
      </c>
      <c r="J44" s="16">
        <f t="shared" si="8"/>
        <v>983</v>
      </c>
      <c r="K44" s="16">
        <f t="shared" si="8"/>
        <v>500</v>
      </c>
    </row>
    <row r="45" spans="1:11" x14ac:dyDescent="0.3">
      <c r="B45" s="2"/>
      <c r="C45" s="2"/>
      <c r="D45" s="2"/>
      <c r="E45" s="2"/>
      <c r="F45" s="2"/>
      <c r="G45" s="16"/>
      <c r="H45" s="16"/>
      <c r="I45" s="16"/>
      <c r="J45" s="16"/>
      <c r="K45" s="16"/>
    </row>
    <row r="46" spans="1:11" x14ac:dyDescent="0.3">
      <c r="B46" s="2" t="s">
        <v>47</v>
      </c>
      <c r="C46" s="2"/>
      <c r="D46" s="2"/>
      <c r="E46" s="2"/>
      <c r="F46" s="2"/>
      <c r="G46" s="16">
        <f>G36</f>
        <v>9904.09</v>
      </c>
      <c r="H46" s="16">
        <f t="shared" ref="H46:K46" si="9">H36</f>
        <v>1073.7</v>
      </c>
      <c r="I46" s="16">
        <f t="shared" si="9"/>
        <v>-3438.36</v>
      </c>
      <c r="J46" s="16">
        <f t="shared" si="9"/>
        <v>8740.7199999999993</v>
      </c>
      <c r="K46" s="16">
        <f t="shared" si="9"/>
        <v>-115.6</v>
      </c>
    </row>
    <row r="47" spans="1:11" x14ac:dyDescent="0.3">
      <c r="B47" s="2" t="s">
        <v>80</v>
      </c>
      <c r="C47" s="2"/>
      <c r="D47" s="2"/>
      <c r="E47" s="2"/>
      <c r="F47" s="2"/>
      <c r="G47" s="34">
        <v>0.25</v>
      </c>
      <c r="H47" s="34">
        <v>0.25</v>
      </c>
      <c r="I47" s="34">
        <v>0.25</v>
      </c>
      <c r="J47" s="34">
        <v>0.25</v>
      </c>
      <c r="K47" s="34">
        <v>0.25</v>
      </c>
    </row>
    <row r="48" spans="1:11" x14ac:dyDescent="0.3">
      <c r="B48" s="35" t="s">
        <v>82</v>
      </c>
      <c r="C48" s="2"/>
      <c r="D48" s="2"/>
      <c r="E48" s="2"/>
      <c r="F48" s="2"/>
      <c r="G48" s="36">
        <f>G46*1-G47</f>
        <v>9903.84</v>
      </c>
      <c r="H48" s="36">
        <f t="shared" ref="H48:J48" si="10">H46*1-H47</f>
        <v>1073.45</v>
      </c>
      <c r="I48" s="36">
        <f t="shared" si="10"/>
        <v>-3438.61</v>
      </c>
      <c r="J48" s="36">
        <f t="shared" si="10"/>
        <v>8740.4699999999993</v>
      </c>
      <c r="K48" s="36">
        <f>K46*1-K47</f>
        <v>-115.85</v>
      </c>
    </row>
    <row r="49" spans="2:12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2" x14ac:dyDescent="0.3">
      <c r="B50" s="2" t="s">
        <v>81</v>
      </c>
      <c r="C50" s="2"/>
      <c r="D50" s="2"/>
      <c r="E50" s="2"/>
      <c r="F50" s="2"/>
      <c r="G50" s="2"/>
      <c r="H50" s="2">
        <f>SUM(H46:H47)</f>
        <v>1073.95</v>
      </c>
      <c r="I50" s="2">
        <f t="shared" ref="I50:K50" si="11">SUM(I46:I47)</f>
        <v>-3438.11</v>
      </c>
      <c r="J50" s="2">
        <f t="shared" si="11"/>
        <v>8740.9699999999993</v>
      </c>
      <c r="K50" s="2">
        <f t="shared" si="11"/>
        <v>-115.35</v>
      </c>
    </row>
    <row r="51" spans="2:12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2" x14ac:dyDescent="0.3">
      <c r="B52" s="13" t="s">
        <v>83</v>
      </c>
      <c r="C52" s="13"/>
      <c r="D52" s="13"/>
      <c r="E52" s="13"/>
      <c r="F52" s="13"/>
      <c r="G52" s="13"/>
      <c r="H52" s="29">
        <f>H50/H48</f>
        <v>1.0004657878801995</v>
      </c>
      <c r="I52" s="29">
        <f t="shared" ref="I52:K52" si="12">I50/I48</f>
        <v>0.9998545924079788</v>
      </c>
      <c r="J52" s="29">
        <f t="shared" si="12"/>
        <v>1.0000572051617362</v>
      </c>
      <c r="K52" s="29">
        <f t="shared" si="12"/>
        <v>0.99568407423392313</v>
      </c>
    </row>
    <row r="54" spans="2:12" x14ac:dyDescent="0.3">
      <c r="J54" s="33" t="s">
        <v>89</v>
      </c>
      <c r="K54" s="42">
        <f>AVERAGE(H52:K52)</f>
        <v>0.99901541492095947</v>
      </c>
      <c r="L54" s="43"/>
    </row>
    <row r="55" spans="2:12" x14ac:dyDescent="0.3">
      <c r="J55" s="33" t="s">
        <v>90</v>
      </c>
      <c r="K55" s="42">
        <f>MEDIAN(H52:K52)</f>
        <v>0.99995589878485758</v>
      </c>
      <c r="L55" s="43"/>
    </row>
    <row r="57" spans="2:12" x14ac:dyDescent="0.3">
      <c r="B57" s="26" t="s">
        <v>84</v>
      </c>
      <c r="C57" s="24"/>
      <c r="D57" s="24"/>
      <c r="E57" s="24"/>
      <c r="F57" s="24"/>
      <c r="G57" s="28">
        <f>G41</f>
        <v>44256</v>
      </c>
      <c r="H57" s="28">
        <f t="shared" ref="H57:K57" si="13">H41</f>
        <v>44621</v>
      </c>
      <c r="I57" s="28">
        <f t="shared" si="13"/>
        <v>44986</v>
      </c>
      <c r="J57" s="28">
        <f t="shared" si="13"/>
        <v>45352</v>
      </c>
      <c r="K57" s="28">
        <f t="shared" si="13"/>
        <v>45717</v>
      </c>
    </row>
    <row r="59" spans="2:12" x14ac:dyDescent="0.3">
      <c r="B59" s="37" t="s">
        <v>85</v>
      </c>
      <c r="C59" s="37"/>
      <c r="D59" s="37"/>
      <c r="E59" s="37"/>
      <c r="F59" s="37"/>
      <c r="G59" s="37"/>
      <c r="H59" s="38">
        <f>H52</f>
        <v>1.0004657878801995</v>
      </c>
      <c r="I59" s="38">
        <f t="shared" ref="I59:K59" si="14">I52</f>
        <v>0.9998545924079788</v>
      </c>
      <c r="J59" s="38">
        <f t="shared" si="14"/>
        <v>1.0000572051617362</v>
      </c>
      <c r="K59" s="38">
        <f t="shared" si="14"/>
        <v>0.99568407423392313</v>
      </c>
    </row>
    <row r="60" spans="2:12" x14ac:dyDescent="0.3">
      <c r="B60" s="37" t="s">
        <v>48</v>
      </c>
      <c r="C60" s="37"/>
      <c r="D60" s="37"/>
      <c r="E60" s="37"/>
      <c r="F60" s="37"/>
      <c r="G60" s="37"/>
      <c r="H60" s="39">
        <f>H38</f>
        <v>7.2424957841483978E-2</v>
      </c>
      <c r="I60" s="39">
        <f t="shared" ref="I60:K60" si="15">I38</f>
        <v>-0.18667462945871113</v>
      </c>
      <c r="J60" s="39">
        <f t="shared" si="15"/>
        <v>0.44472982598962041</v>
      </c>
      <c r="K60" s="39">
        <f t="shared" si="15"/>
        <v>-5.369002833124332E-3</v>
      </c>
    </row>
    <row r="62" spans="2:12" ht="15" thickBot="1" x14ac:dyDescent="0.35">
      <c r="B62" s="40" t="s">
        <v>86</v>
      </c>
      <c r="C62" s="40"/>
      <c r="D62" s="40"/>
      <c r="E62" s="40"/>
      <c r="F62" s="40"/>
      <c r="G62" s="40"/>
      <c r="H62" s="41">
        <f>H59*H60</f>
        <v>7.2458692509070499E-2</v>
      </c>
      <c r="I62" s="41">
        <f t="shared" ref="I62:K62" si="16">I59*I60</f>
        <v>-0.1866474855503501</v>
      </c>
      <c r="J62" s="41">
        <f t="shared" si="16"/>
        <v>0.44475526683124506</v>
      </c>
      <c r="K62" s="41">
        <f t="shared" si="16"/>
        <v>-5.3458306154587111E-3</v>
      </c>
    </row>
    <row r="63" spans="2:12" ht="15" thickTop="1" x14ac:dyDescent="0.3"/>
    <row r="64" spans="2:12" x14ac:dyDescent="0.3">
      <c r="J64" s="33" t="s">
        <v>87</v>
      </c>
      <c r="K64" s="42">
        <f>AVERAGE(H62:K62)</f>
        <v>8.130516079362668E-2</v>
      </c>
    </row>
    <row r="65" spans="10:11" x14ac:dyDescent="0.3">
      <c r="J65" s="33" t="s">
        <v>88</v>
      </c>
      <c r="K65" s="42">
        <f>MEDIAN(H62:K62)</f>
        <v>3.3556430946805896E-2</v>
      </c>
    </row>
  </sheetData>
  <pageMargins left="0.7" right="0.7" top="0.75" bottom="0.75" header="0.3" footer="0.3"/>
  <ignoredErrors>
    <ignoredError sqref="G43 H43:K4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AF39-F431-471F-B7CD-5A490FA7B8D6}">
  <dimension ref="B2:K38"/>
  <sheetViews>
    <sheetView showGridLines="0" tabSelected="1" topLeftCell="A14" zoomScale="108" workbookViewId="0">
      <selection activeCell="E28" sqref="E28"/>
    </sheetView>
  </sheetViews>
  <sheetFormatPr defaultRowHeight="14.4" x14ac:dyDescent="0.3"/>
  <cols>
    <col min="1" max="1" width="1.77734375" customWidth="1"/>
    <col min="2" max="2" width="28.88671875" customWidth="1"/>
    <col min="3" max="3" width="20.21875" bestFit="1" customWidth="1"/>
    <col min="6" max="6" width="11.109375" bestFit="1" customWidth="1"/>
    <col min="7" max="7" width="9.6640625" customWidth="1"/>
    <col min="8" max="8" width="9.88671875" customWidth="1"/>
    <col min="9" max="10" width="9.77734375" customWidth="1"/>
    <col min="11" max="11" width="10.109375" customWidth="1"/>
  </cols>
  <sheetData>
    <row r="2" spans="2:11" s="44" customFormat="1" x14ac:dyDescent="0.3">
      <c r="B2" s="26" t="s">
        <v>91</v>
      </c>
      <c r="C2" s="26"/>
      <c r="D2" s="26"/>
      <c r="E2" s="26"/>
      <c r="F2" s="46">
        <f>'INTRINSIC GROWTH '!K3</f>
        <v>45717</v>
      </c>
      <c r="G2" s="45">
        <f>F2+365</f>
        <v>46082</v>
      </c>
      <c r="H2" s="45">
        <f t="shared" ref="H2:J2" si="0">G2+365</f>
        <v>46447</v>
      </c>
      <c r="I2" s="45">
        <f>H2+366</f>
        <v>46813</v>
      </c>
      <c r="J2" s="45">
        <f t="shared" si="0"/>
        <v>47178</v>
      </c>
      <c r="K2" s="45">
        <f>J2+365</f>
        <v>47543</v>
      </c>
    </row>
    <row r="3" spans="2:11" x14ac:dyDescent="0.3">
      <c r="F3" s="54"/>
    </row>
    <row r="4" spans="2:11" x14ac:dyDescent="0.3">
      <c r="B4" s="2" t="s">
        <v>47</v>
      </c>
      <c r="C4" s="2"/>
      <c r="D4" s="2"/>
      <c r="E4" s="2"/>
      <c r="F4" s="55">
        <f>'INTRINSIC GROWTH '!K46</f>
        <v>-115.6</v>
      </c>
      <c r="G4" s="2">
        <f>F4*(1+$C$14)</f>
        <v>-139.58699999999999</v>
      </c>
      <c r="H4" s="2">
        <f>G4*(1+$C$14)</f>
        <v>-168.55130249999999</v>
      </c>
      <c r="I4" s="2">
        <f>H4*(1+$C$14)</f>
        <v>-203.52569776874998</v>
      </c>
      <c r="J4" s="2">
        <f>I4*(1+$C$14)</f>
        <v>-245.75728005576559</v>
      </c>
      <c r="K4" s="2">
        <f>J4*(1+$C$14)</f>
        <v>-296.75191566733696</v>
      </c>
    </row>
    <row r="5" spans="2:11" x14ac:dyDescent="0.3">
      <c r="B5" s="2" t="s">
        <v>92</v>
      </c>
      <c r="C5" s="2"/>
      <c r="D5" s="2"/>
      <c r="E5" s="2"/>
      <c r="F5" s="56">
        <f>'INTRINSIC GROWTH '!G47</f>
        <v>0.25</v>
      </c>
      <c r="G5" s="49">
        <f>'INTRINSIC GROWTH '!H47</f>
        <v>0.25</v>
      </c>
      <c r="H5" s="49">
        <f>'INTRINSIC GROWTH '!I47</f>
        <v>0.25</v>
      </c>
      <c r="I5" s="49">
        <f>'INTRINSIC GROWTH '!J47</f>
        <v>0.25</v>
      </c>
      <c r="J5" s="49">
        <f>'INTRINSIC GROWTH '!K47</f>
        <v>0.25</v>
      </c>
      <c r="K5" s="49">
        <v>0.25</v>
      </c>
    </row>
    <row r="6" spans="2:11" x14ac:dyDescent="0.3">
      <c r="B6" s="2" t="s">
        <v>93</v>
      </c>
      <c r="C6" s="2"/>
      <c r="D6" s="2"/>
      <c r="E6" s="2"/>
      <c r="F6" s="57">
        <f t="shared" ref="F6:K6" si="1">F4*1-F5</f>
        <v>-115.85</v>
      </c>
      <c r="G6" s="50">
        <f t="shared" si="1"/>
        <v>-139.83699999999999</v>
      </c>
      <c r="H6" s="50">
        <f t="shared" si="1"/>
        <v>-168.80130249999999</v>
      </c>
      <c r="I6" s="50">
        <f t="shared" si="1"/>
        <v>-203.77569776874998</v>
      </c>
      <c r="J6" s="50">
        <f t="shared" si="1"/>
        <v>-246.00728005576559</v>
      </c>
      <c r="K6" s="50">
        <f t="shared" si="1"/>
        <v>-297.00191566733696</v>
      </c>
    </row>
    <row r="7" spans="2:11" x14ac:dyDescent="0.3">
      <c r="B7" s="2" t="s">
        <v>94</v>
      </c>
      <c r="C7" s="2"/>
      <c r="D7" s="2"/>
      <c r="E7" s="2"/>
      <c r="F7" s="58">
        <f>'INTRINSIC GROWTH '!K54</f>
        <v>0.99901541492095947</v>
      </c>
      <c r="G7" s="51">
        <f>F7</f>
        <v>0.99901541492095947</v>
      </c>
      <c r="H7" s="51">
        <f t="shared" ref="H7:J7" si="2">G7</f>
        <v>0.99901541492095947</v>
      </c>
      <c r="I7" s="51">
        <f t="shared" si="2"/>
        <v>0.99901541492095947</v>
      </c>
      <c r="J7" s="51">
        <f t="shared" si="2"/>
        <v>0.99901541492095947</v>
      </c>
      <c r="K7" s="52">
        <v>0.47</v>
      </c>
    </row>
    <row r="8" spans="2:11" x14ac:dyDescent="0.3">
      <c r="B8" s="2" t="s">
        <v>95</v>
      </c>
      <c r="C8" s="2"/>
      <c r="D8" s="2"/>
      <c r="E8" s="2"/>
      <c r="F8" s="59">
        <f t="shared" ref="F8:K8" si="3">F6*(1-F7)</f>
        <v>-0.11406418140684588</v>
      </c>
      <c r="G8" s="53">
        <f t="shared" si="3"/>
        <v>-0.13768142369779116</v>
      </c>
      <c r="H8" s="53">
        <f t="shared" si="3"/>
        <v>-0.16619924376410761</v>
      </c>
      <c r="I8" s="53">
        <f t="shared" si="3"/>
        <v>-0.20063451149418471</v>
      </c>
      <c r="J8" s="53">
        <f t="shared" si="3"/>
        <v>-0.2422150972782528</v>
      </c>
      <c r="K8" s="53">
        <f t="shared" si="3"/>
        <v>-157.4110153036886</v>
      </c>
    </row>
    <row r="9" spans="2:11" x14ac:dyDescent="0.3">
      <c r="B9" s="2" t="s">
        <v>96</v>
      </c>
      <c r="C9" s="2"/>
      <c r="D9" s="2"/>
      <c r="E9" s="2"/>
      <c r="F9" s="55"/>
      <c r="G9" s="35">
        <v>0.5</v>
      </c>
      <c r="H9" s="2">
        <f>G9+1</f>
        <v>1.5</v>
      </c>
      <c r="I9" s="2">
        <f t="shared" ref="I9:K9" si="4">H9+1</f>
        <v>2.5</v>
      </c>
      <c r="J9" s="2">
        <f t="shared" si="4"/>
        <v>3.5</v>
      </c>
      <c r="K9" s="2">
        <f t="shared" si="4"/>
        <v>4.5</v>
      </c>
    </row>
    <row r="10" spans="2:11" x14ac:dyDescent="0.3">
      <c r="B10" s="2" t="s">
        <v>97</v>
      </c>
      <c r="C10" s="2"/>
      <c r="D10" s="2"/>
      <c r="E10" s="2"/>
      <c r="F10" s="55"/>
      <c r="G10" s="60">
        <f>1/(1+$C$16)^G9</f>
        <v>0.9675053736002367</v>
      </c>
      <c r="H10" s="60">
        <f t="shared" ref="H10:K10" si="5">1/(1+$C$16)^H9</f>
        <v>0.90564951193507137</v>
      </c>
      <c r="I10" s="60">
        <f t="shared" si="5"/>
        <v>0.84774830285038971</v>
      </c>
      <c r="J10" s="60">
        <f t="shared" si="5"/>
        <v>0.79354891215050982</v>
      </c>
      <c r="K10" s="60">
        <f t="shared" si="5"/>
        <v>0.74281467017739389</v>
      </c>
    </row>
    <row r="11" spans="2:11" ht="7.2" customHeight="1" x14ac:dyDescent="0.3">
      <c r="F11" s="54"/>
    </row>
    <row r="12" spans="2:11" x14ac:dyDescent="0.3">
      <c r="B12" s="13" t="s">
        <v>98</v>
      </c>
      <c r="C12" s="13"/>
      <c r="D12" s="13"/>
      <c r="E12" s="13"/>
      <c r="F12" s="61"/>
      <c r="G12" s="62">
        <f>G8*G10</f>
        <v>-0.1332075172725439</v>
      </c>
      <c r="H12" s="62">
        <f t="shared" ref="H12:K12" si="6">H8*H10</f>
        <v>-0.150518263998942</v>
      </c>
      <c r="I12" s="62">
        <f t="shared" si="6"/>
        <v>-0.17008756661241209</v>
      </c>
      <c r="J12" s="62">
        <f t="shared" si="6"/>
        <v>-0.19220952695158741</v>
      </c>
      <c r="K12" s="62">
        <f t="shared" si="6"/>
        <v>-116.92721141509816</v>
      </c>
    </row>
    <row r="14" spans="2:11" x14ac:dyDescent="0.3">
      <c r="B14" s="54" t="s">
        <v>99</v>
      </c>
      <c r="C14" s="63">
        <v>0.20749999999999999</v>
      </c>
    </row>
    <row r="15" spans="2:11" x14ac:dyDescent="0.3">
      <c r="B15" s="54" t="s">
        <v>100</v>
      </c>
      <c r="C15" s="63">
        <v>5.3800000000000001E-2</v>
      </c>
    </row>
    <row r="16" spans="2:11" x14ac:dyDescent="0.3">
      <c r="B16" s="54" t="s">
        <v>101</v>
      </c>
      <c r="C16" s="63">
        <v>6.83E-2</v>
      </c>
    </row>
    <row r="18" spans="2:11" x14ac:dyDescent="0.3">
      <c r="B18" s="26" t="s">
        <v>102</v>
      </c>
      <c r="C18" s="24"/>
      <c r="G18" s="69" t="s">
        <v>114</v>
      </c>
      <c r="H18" s="69"/>
      <c r="I18" s="69"/>
      <c r="J18" s="69"/>
      <c r="K18" s="69"/>
    </row>
    <row r="19" spans="2:11" x14ac:dyDescent="0.3">
      <c r="G19" s="66">
        <f>C30</f>
        <v>-2900.5523780557314</v>
      </c>
      <c r="H19" s="67">
        <v>0.04</v>
      </c>
      <c r="I19" s="68">
        <v>6.83E-2</v>
      </c>
      <c r="J19" s="67">
        <v>0.08</v>
      </c>
      <c r="K19" s="67">
        <v>0.1</v>
      </c>
    </row>
    <row r="20" spans="2:11" x14ac:dyDescent="0.3">
      <c r="B20" t="s">
        <v>103</v>
      </c>
      <c r="C20" s="48">
        <f>K8*(1+C14)</f>
        <v>-190.07380097920398</v>
      </c>
      <c r="G20" s="67">
        <v>0.03</v>
      </c>
      <c r="H20">
        <f t="dataTable" ref="H20:K23" dt2D="1" dtr="1" r1="C21" r2="C22"/>
        <v>-4869.4482587700331</v>
      </c>
      <c r="I20">
        <v>-2900.5285780557315</v>
      </c>
      <c r="J20">
        <v>-2493.5257465299837</v>
      </c>
      <c r="K20">
        <v>-2018.3412440819734</v>
      </c>
    </row>
    <row r="21" spans="2:11" x14ac:dyDescent="0.3">
      <c r="B21" t="s">
        <v>101</v>
      </c>
      <c r="C21" s="47">
        <f>C16</f>
        <v>6.83E-2</v>
      </c>
      <c r="G21" s="67">
        <v>0.04</v>
      </c>
      <c r="H21">
        <v>-4869.4582587700334</v>
      </c>
      <c r="I21">
        <v>-2900.5385780557313</v>
      </c>
      <c r="J21">
        <v>-2493.5357465299835</v>
      </c>
      <c r="K21">
        <v>-2018.3512440819734</v>
      </c>
    </row>
    <row r="22" spans="2:11" x14ac:dyDescent="0.3">
      <c r="B22" t="s">
        <v>104</v>
      </c>
      <c r="C22" s="47">
        <f>C15</f>
        <v>5.3800000000000001E-2</v>
      </c>
      <c r="G22" s="67">
        <v>5.3800000000000001E-2</v>
      </c>
      <c r="H22">
        <v>-4869.4720587700331</v>
      </c>
      <c r="I22" s="54">
        <v>-2900.5523780557314</v>
      </c>
      <c r="J22">
        <v>-2493.5495465299837</v>
      </c>
      <c r="K22">
        <v>-2018.3650440819733</v>
      </c>
    </row>
    <row r="23" spans="2:11" x14ac:dyDescent="0.3">
      <c r="C23" s="47"/>
      <c r="G23" s="67">
        <v>0.06</v>
      </c>
      <c r="H23">
        <v>-4869.4782587700338</v>
      </c>
      <c r="I23">
        <v>-2900.5585780557312</v>
      </c>
      <c r="J23">
        <v>-2493.5557465299835</v>
      </c>
      <c r="K23">
        <v>-2018.3712440819734</v>
      </c>
    </row>
    <row r="24" spans="2:11" x14ac:dyDescent="0.3">
      <c r="B24" s="13" t="s">
        <v>105</v>
      </c>
      <c r="C24" s="65">
        <f>C20/C21-C22</f>
        <v>-2782.9791437657977</v>
      </c>
    </row>
    <row r="26" spans="2:11" x14ac:dyDescent="0.3">
      <c r="B26" s="26" t="s">
        <v>106</v>
      </c>
      <c r="C26" s="24"/>
    </row>
    <row r="28" spans="2:11" x14ac:dyDescent="0.3">
      <c r="B28" t="s">
        <v>98</v>
      </c>
      <c r="C28" s="48">
        <f>SUM(G12:K12)</f>
        <v>-117.57323428993364</v>
      </c>
    </row>
    <row r="29" spans="2:11" x14ac:dyDescent="0.3">
      <c r="B29" t="s">
        <v>108</v>
      </c>
      <c r="C29" s="48">
        <f>C24</f>
        <v>-2782.9791437657977</v>
      </c>
    </row>
    <row r="30" spans="2:11" x14ac:dyDescent="0.3">
      <c r="B30" s="10" t="s">
        <v>107</v>
      </c>
      <c r="C30" s="64">
        <f>SUM(DCF!C28:C29)</f>
        <v>-2900.5523780557314</v>
      </c>
    </row>
    <row r="32" spans="2:11" x14ac:dyDescent="0.3">
      <c r="B32" t="s">
        <v>109</v>
      </c>
      <c r="C32">
        <v>864.33</v>
      </c>
    </row>
    <row r="33" spans="2:3" x14ac:dyDescent="0.3">
      <c r="B33" t="s">
        <v>110</v>
      </c>
      <c r="C33">
        <f>SUM('DATA ROOM 1'!M7:M8)</f>
        <v>1107</v>
      </c>
    </row>
    <row r="34" spans="2:3" x14ac:dyDescent="0.3">
      <c r="B34" s="10" t="s">
        <v>111</v>
      </c>
      <c r="C34" s="64">
        <f>C30+C32-C33</f>
        <v>-3143.2223780557315</v>
      </c>
    </row>
    <row r="35" spans="2:3" x14ac:dyDescent="0.3">
      <c r="B35" s="10" t="s">
        <v>112</v>
      </c>
      <c r="C35" s="10">
        <v>95.92</v>
      </c>
    </row>
    <row r="37" spans="2:3" x14ac:dyDescent="0.3">
      <c r="B37" s="13" t="s">
        <v>113</v>
      </c>
      <c r="C37" s="65">
        <f>C34/C35</f>
        <v>-32.769207444284106</v>
      </c>
    </row>
    <row r="38" spans="2:3" x14ac:dyDescent="0.3">
      <c r="B38" s="10"/>
      <c r="C38" s="10"/>
    </row>
  </sheetData>
  <mergeCells count="1">
    <mergeCell ref="G18:K18"/>
  </mergeCells>
  <pageMargins left="0.7" right="0.7" top="0.75" bottom="0.75" header="0.3" footer="0.3"/>
  <ignoredErrors>
    <ignoredError sqref="C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ROOM 1</vt:lpstr>
      <vt:lpstr>INTRINSIC GROWTH 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Anikett Chawla</dc:creator>
  <cp:lastModifiedBy>Anikett Chawla</cp:lastModifiedBy>
  <dcterms:created xsi:type="dcterms:W3CDTF">2026-03-22T23:50:37Z</dcterms:created>
  <dcterms:modified xsi:type="dcterms:W3CDTF">2026-03-26T10:12:01Z</dcterms:modified>
</cp:coreProperties>
</file>