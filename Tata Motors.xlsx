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KET\Downloads\"/>
    </mc:Choice>
  </mc:AlternateContent>
  <xr:revisionPtr revIDLastSave="0" documentId="13_ncr:1_{5E3E534A-CFF0-4F38-B93D-9D645E2F7F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L6" i="1" s="1"/>
  <c r="I6" i="3"/>
  <c r="J6" i="3"/>
  <c r="K6" i="3"/>
  <c r="B6" i="3"/>
  <c r="C5" i="1"/>
  <c r="D5" i="1"/>
  <c r="E5" i="1"/>
  <c r="F5" i="1"/>
  <c r="G5" i="1"/>
  <c r="G6" i="1" s="1"/>
  <c r="G19" i="1" s="1"/>
  <c r="H5" i="1"/>
  <c r="I5" i="1"/>
  <c r="J5" i="1"/>
  <c r="K5" i="1"/>
  <c r="B5" i="1"/>
  <c r="C13" i="1"/>
  <c r="C14" i="1" s="1"/>
  <c r="F13" i="1"/>
  <c r="G13" i="1"/>
  <c r="G14" i="1" s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F21" i="2" s="1"/>
  <c r="G18" i="2"/>
  <c r="H18" i="2"/>
  <c r="I18" i="2"/>
  <c r="J18" i="2"/>
  <c r="K18" i="2"/>
  <c r="B17" i="2"/>
  <c r="C4" i="2"/>
  <c r="D4" i="2"/>
  <c r="E24" i="2" s="1"/>
  <c r="E4" i="2"/>
  <c r="E23" i="2" s="1"/>
  <c r="E5" i="2"/>
  <c r="F4" i="2"/>
  <c r="G4" i="2"/>
  <c r="H4" i="2"/>
  <c r="I4" i="2"/>
  <c r="I5" i="2"/>
  <c r="J4" i="2"/>
  <c r="J5" i="2"/>
  <c r="K4" i="2"/>
  <c r="C5" i="2"/>
  <c r="D5" i="2"/>
  <c r="F5" i="2"/>
  <c r="F23" i="2" s="1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F16" i="2" s="1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H14" i="3" s="1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L10" i="1" s="1"/>
  <c r="K10" i="3"/>
  <c r="C11" i="3"/>
  <c r="D11" i="3"/>
  <c r="E11" i="3"/>
  <c r="F11" i="3"/>
  <c r="G11" i="3"/>
  <c r="H11" i="3"/>
  <c r="I11" i="3"/>
  <c r="L11" i="1" s="1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E6" i="1" s="1"/>
  <c r="E19" i="1" s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H13" i="1" s="1"/>
  <c r="I12" i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K14" i="1" s="1"/>
  <c r="B15" i="1"/>
  <c r="I13" i="1"/>
  <c r="B7" i="1"/>
  <c r="B4" i="1"/>
  <c r="B20" i="2" s="1"/>
  <c r="A1" i="1"/>
  <c r="A1" i="3" s="1"/>
  <c r="E1" i="6"/>
  <c r="H1" i="1" s="1"/>
  <c r="D16" i="2"/>
  <c r="C23" i="2"/>
  <c r="K16" i="2"/>
  <c r="C16" i="2"/>
  <c r="D23" i="2"/>
  <c r="I6" i="1"/>
  <c r="I19" i="1" s="1"/>
  <c r="J6" i="1"/>
  <c r="J19" i="1"/>
  <c r="K6" i="1"/>
  <c r="K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14" i="3"/>
  <c r="G20" i="2"/>
  <c r="K20" i="2"/>
  <c r="J20" i="2"/>
  <c r="C20" i="2"/>
  <c r="E20" i="2"/>
  <c r="A1" i="2"/>
  <c r="A1" i="4"/>
  <c r="N11" i="1" l="1"/>
  <c r="M11" i="1"/>
  <c r="K23" i="2"/>
  <c r="I14" i="1"/>
  <c r="K25" i="1" s="1"/>
  <c r="M25" i="1" s="1"/>
  <c r="M14" i="1" s="1"/>
  <c r="C24" i="2"/>
  <c r="H24" i="2"/>
  <c r="D14" i="1"/>
  <c r="I24" i="2"/>
  <c r="L4" i="1"/>
  <c r="L23" i="1" s="1"/>
  <c r="J23" i="1"/>
  <c r="B23" i="2"/>
  <c r="H14" i="1"/>
  <c r="G24" i="2"/>
  <c r="D13" i="1"/>
  <c r="E13" i="1" s="1"/>
  <c r="E14" i="1"/>
  <c r="D24" i="2"/>
  <c r="B6" i="1"/>
  <c r="B19" i="1" s="1"/>
  <c r="K24" i="1"/>
  <c r="L9" i="1"/>
  <c r="N9" i="1" s="1"/>
  <c r="L7" i="1"/>
  <c r="E16" i="2"/>
  <c r="J23" i="2"/>
  <c r="H23" i="2"/>
  <c r="J24" i="2"/>
  <c r="I23" i="1"/>
  <c r="H23" i="1"/>
  <c r="N23" i="1" s="1"/>
  <c r="N4" i="1" s="1"/>
  <c r="D20" i="2"/>
  <c r="E1" i="3"/>
  <c r="B14" i="1"/>
  <c r="I16" i="2"/>
  <c r="K24" i="2"/>
  <c r="E1" i="2"/>
  <c r="I23" i="2"/>
  <c r="F24" i="2"/>
  <c r="J25" i="1"/>
  <c r="M9" i="1"/>
  <c r="N8" i="1"/>
  <c r="M8" i="1"/>
  <c r="H25" i="1"/>
  <c r="N25" i="1" s="1"/>
  <c r="N14" i="1" s="1"/>
  <c r="I25" i="1"/>
  <c r="I20" i="2"/>
  <c r="J24" i="1"/>
  <c r="H20" i="2"/>
  <c r="K23" i="1"/>
  <c r="H6" i="1"/>
  <c r="H19" i="1" s="1"/>
  <c r="H24" i="1" s="1"/>
  <c r="F6" i="1"/>
  <c r="F19" i="1" s="1"/>
  <c r="E1" i="4"/>
  <c r="I24" i="1" l="1"/>
  <c r="N24" i="1" s="1"/>
  <c r="N6" i="1" s="1"/>
  <c r="M23" i="1"/>
  <c r="M4" i="1" s="1"/>
  <c r="M6" i="1" s="1"/>
  <c r="M10" i="1" s="1"/>
  <c r="M12" i="1" s="1"/>
  <c r="M13" i="1" s="1"/>
  <c r="M15" i="1" s="1"/>
  <c r="L19" i="1"/>
  <c r="L24" i="1" s="1"/>
  <c r="M24" i="1" s="1"/>
  <c r="N10" i="1" l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<sst xmlns="http://schemas.openxmlformats.org/spreadsheetml/2006/main" count="145" uniqueCount="93">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</sst>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TATA MOTORS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273045.59999999998</v>
      </c>
      <c r="C4" s="1">
        <f>'Data Sheet'!C17</f>
        <v>269692.51</v>
      </c>
      <c r="D4" s="1">
        <f>'Data Sheet'!D17</f>
        <v>291550.48</v>
      </c>
      <c r="E4" s="1">
        <f>'Data Sheet'!E17</f>
        <v>301938.40000000002</v>
      </c>
      <c r="F4" s="1">
        <f>'Data Sheet'!F17</f>
        <v>261067.97</v>
      </c>
      <c r="G4" s="1">
        <f>'Data Sheet'!G17</f>
        <v>249794.75</v>
      </c>
      <c r="H4" s="1">
        <f>'Data Sheet'!H17</f>
        <v>278453.62</v>
      </c>
      <c r="I4" s="1">
        <f>'Data Sheet'!I17</f>
        <v>345966.97</v>
      </c>
      <c r="J4" s="1">
        <f>'Data Sheet'!J17</f>
        <v>434016</v>
      </c>
      <c r="K4" s="1">
        <f>'Data Sheet'!K17</f>
        <v>439695</v>
      </c>
      <c r="L4" s="1">
        <f>SUM(Quarters!H4:K4)</f>
        <v>437968</v>
      </c>
      <c r="M4" s="1">
        <f>$K4+M23*K4</f>
        <v>512017.03850373905</v>
      </c>
      <c r="N4" s="1">
        <f>$K4+N23*L4</f>
        <v>445425.71101526212</v>
      </c>
    </row>
    <row r="5" spans="1:14" x14ac:dyDescent="0.3">
      <c r="A5" t="s">
        <v>7</v>
      </c>
      <c r="B5" s="6">
        <f>SUM('Data Sheet'!B18,'Data Sheet'!B20:B24, -1*'Data Sheet'!B19)</f>
        <v>234650.35</v>
      </c>
      <c r="C5" s="6">
        <f>SUM('Data Sheet'!C18,'Data Sheet'!C20:C24, -1*'Data Sheet'!C19)</f>
        <v>240103.81999999998</v>
      </c>
      <c r="D5" s="6">
        <f>SUM('Data Sheet'!D18,'Data Sheet'!D20:D24, -1*'Data Sheet'!D19)</f>
        <v>260092.80000000002</v>
      </c>
      <c r="E5" s="6">
        <f>SUM('Data Sheet'!E18,'Data Sheet'!E20:E24, -1*'Data Sheet'!E19)</f>
        <v>277274.07</v>
      </c>
      <c r="F5" s="6">
        <f>SUM('Data Sheet'!F18,'Data Sheet'!F20:F24, -1*'Data Sheet'!F19)</f>
        <v>243080.90000000005</v>
      </c>
      <c r="G5" s="6">
        <f>SUM('Data Sheet'!G18,'Data Sheet'!G20:G24, -1*'Data Sheet'!G19)</f>
        <v>217507.32</v>
      </c>
      <c r="H5" s="6">
        <f>SUM('Data Sheet'!H18,'Data Sheet'!H20:H24, -1*'Data Sheet'!H19)</f>
        <v>253733.52999999997</v>
      </c>
      <c r="I5" s="6">
        <f>SUM('Data Sheet'!I18,'Data Sheet'!I20:I24, -1*'Data Sheet'!I19)</f>
        <v>314151.17000000004</v>
      </c>
      <c r="J5" s="6">
        <f>SUM('Data Sheet'!J18,'Data Sheet'!J20:J24, -1*'Data Sheet'!J19)</f>
        <v>376192</v>
      </c>
      <c r="K5" s="6">
        <f>SUM('Data Sheet'!K18,'Data Sheet'!K20:K24, -1*'Data Sheet'!K19)</f>
        <v>384479</v>
      </c>
      <c r="L5" s="6">
        <f>SUM(Quarters!H5:K5)</f>
        <v>386344</v>
      </c>
      <c r="M5" s="6">
        <f t="shared" ref="M5:N5" si="0">M4-M6</f>
        <v>451207.02180228964</v>
      </c>
      <c r="N5" s="6">
        <f t="shared" si="0"/>
        <v>398296.19376951864</v>
      </c>
    </row>
    <row r="6" spans="1:14" s="2" customFormat="1" x14ac:dyDescent="0.3">
      <c r="A6" s="2" t="s">
        <v>8</v>
      </c>
      <c r="B6" s="1">
        <f>B4-B5</f>
        <v>38395.249999999971</v>
      </c>
      <c r="C6" s="1">
        <f t="shared" ref="C6:K6" si="1">C4-C5</f>
        <v>29588.690000000031</v>
      </c>
      <c r="D6" s="1">
        <f t="shared" si="1"/>
        <v>31457.679999999964</v>
      </c>
      <c r="E6" s="1">
        <f t="shared" si="1"/>
        <v>24664.330000000016</v>
      </c>
      <c r="F6" s="1">
        <f t="shared" si="1"/>
        <v>17987.069999999949</v>
      </c>
      <c r="G6" s="1">
        <f t="shared" si="1"/>
        <v>32287.429999999993</v>
      </c>
      <c r="H6" s="1">
        <f t="shared" si="1"/>
        <v>24720.090000000026</v>
      </c>
      <c r="I6" s="1">
        <f t="shared" si="1"/>
        <v>31815.79999999993</v>
      </c>
      <c r="J6" s="1">
        <f t="shared" si="1"/>
        <v>57824</v>
      </c>
      <c r="K6" s="1">
        <f t="shared" si="1"/>
        <v>55216</v>
      </c>
      <c r="L6" s="1">
        <f>SUM(Quarters!H6:K6)</f>
        <v>51624</v>
      </c>
      <c r="M6" s="1">
        <f>M4*M24</f>
        <v>60810.016701449393</v>
      </c>
      <c r="N6" s="1">
        <f>N4*N24</f>
        <v>47129.517245743475</v>
      </c>
    </row>
    <row r="7" spans="1:14" x14ac:dyDescent="0.3">
      <c r="A7" t="s">
        <v>9</v>
      </c>
      <c r="B7" s="6">
        <f>'Data Sheet'!B25</f>
        <v>-2669.62</v>
      </c>
      <c r="C7" s="6">
        <f>'Data Sheet'!C25</f>
        <v>1869.1</v>
      </c>
      <c r="D7" s="6">
        <f>'Data Sheet'!D25</f>
        <v>5932.73</v>
      </c>
      <c r="E7" s="6">
        <f>'Data Sheet'!E25</f>
        <v>-26686.25</v>
      </c>
      <c r="F7" s="6">
        <f>'Data Sheet'!F25</f>
        <v>101.71</v>
      </c>
      <c r="G7" s="6">
        <f>'Data Sheet'!G25</f>
        <v>-11117.83</v>
      </c>
      <c r="H7" s="6">
        <f>'Data Sheet'!H25</f>
        <v>2424.0500000000002</v>
      </c>
      <c r="I7" s="6">
        <f>'Data Sheet'!I25</f>
        <v>6663.97</v>
      </c>
      <c r="J7" s="6">
        <f>'Data Sheet'!J25</f>
        <v>4792</v>
      </c>
      <c r="K7" s="6">
        <f>'Data Sheet'!K25</f>
        <v>11774</v>
      </c>
      <c r="L7" s="6">
        <f>SUM(Quarters!H7:K7)</f>
        <v>5999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16710.78</v>
      </c>
      <c r="C8" s="6">
        <f>'Data Sheet'!C26</f>
        <v>17904.990000000002</v>
      </c>
      <c r="D8" s="6">
        <f>'Data Sheet'!D26</f>
        <v>21553.59</v>
      </c>
      <c r="E8" s="6">
        <f>'Data Sheet'!E26</f>
        <v>23590.63</v>
      </c>
      <c r="F8" s="6">
        <f>'Data Sheet'!F26</f>
        <v>21425.43</v>
      </c>
      <c r="G8" s="6">
        <f>'Data Sheet'!G26</f>
        <v>23546.71</v>
      </c>
      <c r="H8" s="6">
        <f>'Data Sheet'!H26</f>
        <v>24835.69</v>
      </c>
      <c r="I8" s="6">
        <f>'Data Sheet'!I26</f>
        <v>24860.36</v>
      </c>
      <c r="J8" s="6">
        <f>'Data Sheet'!J26</f>
        <v>27239</v>
      </c>
      <c r="K8" s="6">
        <f>'Data Sheet'!K26</f>
        <v>23256</v>
      </c>
      <c r="L8" s="6">
        <f>SUM(Quarters!H8:K8)</f>
        <v>22019</v>
      </c>
      <c r="M8" s="6">
        <f>+$L8</f>
        <v>22019</v>
      </c>
      <c r="N8" s="6">
        <f>+$L8</f>
        <v>22019</v>
      </c>
    </row>
    <row r="9" spans="1:14" x14ac:dyDescent="0.3">
      <c r="A9" t="s">
        <v>11</v>
      </c>
      <c r="B9" s="6">
        <f>'Data Sheet'!B27</f>
        <v>4889.08</v>
      </c>
      <c r="C9" s="6">
        <f>'Data Sheet'!C27</f>
        <v>4238.01</v>
      </c>
      <c r="D9" s="6">
        <f>'Data Sheet'!D27</f>
        <v>4681.79</v>
      </c>
      <c r="E9" s="6">
        <f>'Data Sheet'!E27</f>
        <v>5758.6</v>
      </c>
      <c r="F9" s="6">
        <f>'Data Sheet'!F27</f>
        <v>7243.33</v>
      </c>
      <c r="G9" s="6">
        <f>'Data Sheet'!G27</f>
        <v>8097.17</v>
      </c>
      <c r="H9" s="6">
        <f>'Data Sheet'!H27</f>
        <v>9311.86</v>
      </c>
      <c r="I9" s="6">
        <f>'Data Sheet'!I27</f>
        <v>10225.48</v>
      </c>
      <c r="J9" s="6">
        <f>'Data Sheet'!J27</f>
        <v>7594</v>
      </c>
      <c r="K9" s="6">
        <f>'Data Sheet'!K27</f>
        <v>5083</v>
      </c>
      <c r="L9" s="6">
        <f>SUM(Quarters!H9:K9)</f>
        <v>5167</v>
      </c>
      <c r="M9" s="6">
        <f>+$L9</f>
        <v>5167</v>
      </c>
      <c r="N9" s="6">
        <f>+$L9</f>
        <v>5167</v>
      </c>
    </row>
    <row r="10" spans="1:14" x14ac:dyDescent="0.3">
      <c r="A10" t="s">
        <v>12</v>
      </c>
      <c r="B10" s="6">
        <f>'Data Sheet'!B28</f>
        <v>14125.77</v>
      </c>
      <c r="C10" s="6">
        <f>'Data Sheet'!C28</f>
        <v>9314.7900000000009</v>
      </c>
      <c r="D10" s="6">
        <f>'Data Sheet'!D28</f>
        <v>11155.03</v>
      </c>
      <c r="E10" s="6">
        <f>'Data Sheet'!E28</f>
        <v>-31371.15</v>
      </c>
      <c r="F10" s="6">
        <f>'Data Sheet'!F28</f>
        <v>-10579.98</v>
      </c>
      <c r="G10" s="6">
        <f>'Data Sheet'!G28</f>
        <v>-10474.280000000001</v>
      </c>
      <c r="H10" s="6">
        <f>'Data Sheet'!H28</f>
        <v>-7003.41</v>
      </c>
      <c r="I10" s="6">
        <f>'Data Sheet'!I28</f>
        <v>3393.93</v>
      </c>
      <c r="J10" s="6">
        <f>'Data Sheet'!J28</f>
        <v>27783</v>
      </c>
      <c r="K10" s="6">
        <f>'Data Sheet'!K28</f>
        <v>38651</v>
      </c>
      <c r="L10" s="6">
        <f>SUM(Quarters!H10:K10)</f>
        <v>30437</v>
      </c>
      <c r="M10" s="6">
        <f>M6+M7-SUM(M8:M9)</f>
        <v>33624.016701449393</v>
      </c>
      <c r="N10" s="6">
        <f>N6+N7-SUM(N8:N9)</f>
        <v>19943.517245743475</v>
      </c>
    </row>
    <row r="11" spans="1:14" x14ac:dyDescent="0.3">
      <c r="A11" t="s">
        <v>13</v>
      </c>
      <c r="B11" s="6">
        <f>'Data Sheet'!B29</f>
        <v>3025.05</v>
      </c>
      <c r="C11" s="6">
        <f>'Data Sheet'!C29</f>
        <v>3251.23</v>
      </c>
      <c r="D11" s="6">
        <f>'Data Sheet'!D29</f>
        <v>4341.93</v>
      </c>
      <c r="E11" s="6">
        <f>'Data Sheet'!E29</f>
        <v>-2437.4499999999998</v>
      </c>
      <c r="F11" s="6">
        <f>'Data Sheet'!F29</f>
        <v>395.25</v>
      </c>
      <c r="G11" s="6">
        <f>'Data Sheet'!G29</f>
        <v>2541.86</v>
      </c>
      <c r="H11" s="6">
        <f>'Data Sheet'!H29</f>
        <v>4231.29</v>
      </c>
      <c r="I11" s="6">
        <f>'Data Sheet'!I29</f>
        <v>704.06</v>
      </c>
      <c r="J11" s="6">
        <f>'Data Sheet'!J29</f>
        <v>-4024</v>
      </c>
      <c r="K11" s="6">
        <f>'Data Sheet'!K29</f>
        <v>10502</v>
      </c>
      <c r="L11" s="6">
        <f>SUM(Quarters!H11:K11)</f>
        <v>8943</v>
      </c>
      <c r="M11" s="7">
        <f>IF($L10&gt;0,$L11/$L10,0)</f>
        <v>0.29382002168413446</v>
      </c>
      <c r="N11" s="7">
        <f>IF($L10&gt;0,$L11/$L10,0)</f>
        <v>0.29382002168413446</v>
      </c>
    </row>
    <row r="12" spans="1:14" s="2" customFormat="1" x14ac:dyDescent="0.3">
      <c r="A12" s="2" t="s">
        <v>14</v>
      </c>
      <c r="B12" s="1">
        <f>'Data Sheet'!B30</f>
        <v>11579.31</v>
      </c>
      <c r="C12" s="1">
        <f>'Data Sheet'!C30</f>
        <v>7454.36</v>
      </c>
      <c r="D12" s="1">
        <f>'Data Sheet'!D30</f>
        <v>8988.91</v>
      </c>
      <c r="E12" s="1">
        <f>'Data Sheet'!E30</f>
        <v>-28826.23</v>
      </c>
      <c r="F12" s="1">
        <f>'Data Sheet'!F30</f>
        <v>-12070.85</v>
      </c>
      <c r="G12" s="1">
        <f>'Data Sheet'!G30</f>
        <v>-13451.39</v>
      </c>
      <c r="H12" s="1">
        <f>'Data Sheet'!H30</f>
        <v>-11441.47</v>
      </c>
      <c r="I12" s="1">
        <f>'Data Sheet'!I30</f>
        <v>2414.29</v>
      </c>
      <c r="J12" s="1">
        <f>'Data Sheet'!J30</f>
        <v>31399</v>
      </c>
      <c r="K12" s="1">
        <f>'Data Sheet'!K30</f>
        <v>27830</v>
      </c>
      <c r="L12" s="1">
        <f>SUM(Quarters!H12:K12)</f>
        <v>21143</v>
      </c>
      <c r="M12" s="1">
        <f>M10-M11*M10</f>
        <v>23744.607385121832</v>
      </c>
      <c r="N12" s="1">
        <f>N10-N11*N10</f>
        <v>14083.712576141217</v>
      </c>
    </row>
    <row r="13" spans="1:14" x14ac:dyDescent="0.3">
      <c r="A13" t="s">
        <v>57</v>
      </c>
      <c r="B13" s="6">
        <f>IF('Data Sheet'!B93&gt;0,B12/'Data Sheet'!B93,0)</f>
        <v>40.105673316708227</v>
      </c>
      <c r="C13" s="6">
        <f>IF('Data Sheet'!C93&gt;0,C12/'Data Sheet'!C93,0)</f>
        <v>25.817753610639695</v>
      </c>
      <c r="D13" s="6">
        <f>IF('Data Sheet'!D93&gt;0,D12/'Data Sheet'!D93,0)</f>
        <v>31.132580611644094</v>
      </c>
      <c r="E13" s="6">
        <f>IF('Data Sheet'!E93&gt;0,E12/'Data Sheet'!E93,0)</f>
        <v>-99.838014754268684</v>
      </c>
      <c r="F13" s="6">
        <f>IF('Data Sheet'!F93&gt;0,F12/'Data Sheet'!F93,0)</f>
        <v>-39.076885723535128</v>
      </c>
      <c r="G13" s="6">
        <f>IF('Data Sheet'!G93&gt;0,G12/'Data Sheet'!G93,0)</f>
        <v>-40.512574164985097</v>
      </c>
      <c r="H13" s="6">
        <f>IF('Data Sheet'!H93&gt;0,H12/'Data Sheet'!H93,0)</f>
        <v>-34.454994428885477</v>
      </c>
      <c r="I13" s="6">
        <f>IF('Data Sheet'!I93&gt;0,I12/'Data Sheet'!I93,0)</f>
        <v>7.2691114924878812</v>
      </c>
      <c r="J13" s="6">
        <f>IF('Data Sheet'!J93&gt;0,J12/'Data Sheet'!J93,0)</f>
        <v>94.470018353040288</v>
      </c>
      <c r="K13" s="6">
        <f>IF('Data Sheet'!K93&gt;0,K12/'Data Sheet'!K93,0)</f>
        <v>75.598294080895343</v>
      </c>
      <c r="L13" s="6">
        <f>IF('Data Sheet'!$B6&gt;0,'Profit &amp; Loss'!L12/'Data Sheet'!$B6,0)</f>
        <v>57.397250910113584</v>
      </c>
      <c r="M13" s="6">
        <f>IF('Data Sheet'!$B6&gt;0,'Profit &amp; Loss'!M12/'Data Sheet'!$B6,0)</f>
        <v>64.459877398948777</v>
      </c>
      <c r="N13" s="6">
        <f>IF('Data Sheet'!$B6&gt;0,'Profit &amp; Loss'!N12/'Data Sheet'!$B6,0)</f>
        <v>38.233286878810937</v>
      </c>
    </row>
    <row r="14" spans="1:14" x14ac:dyDescent="0.3">
      <c r="A14" t="s">
        <v>16</v>
      </c>
      <c r="B14" s="6">
        <f>IF(B15&gt;0,B15/B13,"")</f>
        <v>9.6395339618681959</v>
      </c>
      <c r="C14" s="6">
        <f t="shared" ref="C14:K14" si="2">IF(C15&gt;0,C15/C13,"")</f>
        <v>18.043785180753279</v>
      </c>
      <c r="D14" s="6">
        <f t="shared" si="2"/>
        <v>10.4986478338308</v>
      </c>
      <c r="E14" s="6">
        <f t="shared" si="2"/>
        <v>-1.7453271725092045</v>
      </c>
      <c r="F14" s="6">
        <f t="shared" si="2"/>
        <v>-1.8182103994333454</v>
      </c>
      <c r="G14" s="6">
        <f t="shared" si="2"/>
        <v>-7.4495389695786081</v>
      </c>
      <c r="H14" s="6">
        <f t="shared" si="2"/>
        <v>-12.588886087189845</v>
      </c>
      <c r="I14" s="6">
        <f t="shared" si="2"/>
        <v>57.88878055246056</v>
      </c>
      <c r="J14" s="6">
        <f t="shared" si="2"/>
        <v>10.509154304277205</v>
      </c>
      <c r="K14" s="6">
        <f t="shared" si="2"/>
        <v>8.9214976104922741</v>
      </c>
      <c r="L14" s="6">
        <f t="shared" ref="L14" si="3">IF(L13&gt;0,L15/L13,0)</f>
        <v>11.866421983635247</v>
      </c>
      <c r="M14" s="6">
        <f>M25</f>
        <v>22.29646361271632</v>
      </c>
      <c r="N14" s="6">
        <f>N25</f>
        <v>11.866421983635247</v>
      </c>
    </row>
    <row r="15" spans="1:14" s="2" customFormat="1" x14ac:dyDescent="0.3">
      <c r="A15" s="2" t="s">
        <v>58</v>
      </c>
      <c r="B15" s="1">
        <f>'Data Sheet'!B90</f>
        <v>386.6</v>
      </c>
      <c r="C15" s="1">
        <f>'Data Sheet'!C90</f>
        <v>465.85</v>
      </c>
      <c r="D15" s="1">
        <f>'Data Sheet'!D90</f>
        <v>326.85000000000002</v>
      </c>
      <c r="E15" s="1">
        <f>'Data Sheet'!E90</f>
        <v>174.25</v>
      </c>
      <c r="F15" s="1">
        <f>'Data Sheet'!F90</f>
        <v>71.05</v>
      </c>
      <c r="G15" s="1">
        <f>'Data Sheet'!G90</f>
        <v>301.8</v>
      </c>
      <c r="H15" s="1">
        <f>'Data Sheet'!H90</f>
        <v>433.75</v>
      </c>
      <c r="I15" s="1">
        <f>'Data Sheet'!I90</f>
        <v>420.8</v>
      </c>
      <c r="J15" s="1">
        <f>'Data Sheet'!J90</f>
        <v>992.8</v>
      </c>
      <c r="K15" s="1">
        <f>'Data Sheet'!K90</f>
        <v>674.45</v>
      </c>
      <c r="L15" s="1">
        <f>'Data Sheet'!B8</f>
        <v>681.1</v>
      </c>
      <c r="M15" s="8">
        <f>M13*M14</f>
        <v>1437.2273109058165</v>
      </c>
      <c r="N15" s="9">
        <f>N13*N14</f>
        <v>453.69231592535516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5.8656344808110331E-3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0.31728582730326516</v>
      </c>
      <c r="J18" s="5">
        <f>IF('Data Sheet'!J30&gt;0, 'Data Sheet'!J31/'Data Sheet'!J30, 0)</f>
        <v>7.3282588617471889E-2</v>
      </c>
      <c r="K18" s="5">
        <f>IF('Data Sheet'!K30&gt;0, 'Data Sheet'!K31/'Data Sheet'!K30, 0)</f>
        <v>7.9338842975206617E-2</v>
      </c>
    </row>
    <row r="19" spans="1:14" x14ac:dyDescent="0.3">
      <c r="A19" t="s">
        <v>18</v>
      </c>
      <c r="B19" s="5">
        <f t="shared" ref="B19:L19" si="4">IF(B6&gt;0,B6/B4,0)</f>
        <v>0.14061845347443788</v>
      </c>
      <c r="C19" s="5">
        <f t="shared" ref="C19:K19" si="5">IF(C6&gt;0,C6/C4,0)</f>
        <v>0.10971268723777323</v>
      </c>
      <c r="D19" s="5">
        <f t="shared" si="5"/>
        <v>0.10789788444182964</v>
      </c>
      <c r="E19" s="5">
        <f t="shared" si="5"/>
        <v>8.1686628795807403E-2</v>
      </c>
      <c r="F19" s="5">
        <f t="shared" si="5"/>
        <v>6.8898034485042142E-2</v>
      </c>
      <c r="G19" s="5">
        <f t="shared" si="5"/>
        <v>0.12925583904385499</v>
      </c>
      <c r="H19" s="5">
        <f t="shared" si="5"/>
        <v>8.8776328352276501E-2</v>
      </c>
      <c r="I19" s="5">
        <f t="shared" si="5"/>
        <v>9.1961958102531965E-2</v>
      </c>
      <c r="J19" s="5">
        <f t="shared" si="5"/>
        <v>0.13323011133230112</v>
      </c>
      <c r="K19" s="5">
        <f t="shared" si="5"/>
        <v>0.12557795744777631</v>
      </c>
      <c r="L19" s="5">
        <f t="shared" si="4"/>
        <v>0.1178716253242246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5.4364329974180503E-2</v>
      </c>
      <c r="I23" s="5">
        <f>IF(D4=0,"",POWER($K4/D4,1/7)-1)</f>
        <v>6.0452229419457382E-2</v>
      </c>
      <c r="J23" s="5">
        <f>IF(F4=0,"",POWER($K4/F4,1/5)-1)</f>
        <v>0.10988910171869626</v>
      </c>
      <c r="K23" s="5">
        <f>IF(H4=0,"",POWER($K4/H4, 1/3)-1)</f>
        <v>0.164482285456371</v>
      </c>
      <c r="L23" s="5">
        <f>IF(ISERROR(MAX(IF(J4=0,"",(K4-J4)/J4),IF(K4=0,"",(L4-K4)/K4))),"",MAX(IF(J4=0,"",(K4-J4)/J4),IF(K4=0,"",(L4-K4)/K4)))</f>
        <v>1.3084771068347711E-2</v>
      </c>
      <c r="M23" s="16">
        <f>MAX(K23:L23)</f>
        <v>0.164482285456371</v>
      </c>
      <c r="N23" s="16">
        <f>MIN(H23:L23)</f>
        <v>1.3084771068347711E-2</v>
      </c>
    </row>
    <row r="24" spans="1:14" x14ac:dyDescent="0.3">
      <c r="G24" t="s">
        <v>18</v>
      </c>
      <c r="H24" s="5">
        <f>IF(SUM(B4:$K$4)=0,"",SUMPRODUCT(B19:$K$19,B4:$K$4)/SUM(B4:$K$4))</f>
        <v>0.1093583907752373</v>
      </c>
      <c r="I24" s="5">
        <f>IF(SUM(E4:$K$4)=0,"",SUMPRODUCT(E19:$K$19,E4:$K$4)/SUM(E4:$K$4))</f>
        <v>0.10580780606112929</v>
      </c>
      <c r="J24" s="5">
        <f>IF(SUM(G4:$K$4)=0,"",SUMPRODUCT(G19:$K$19,G4:$K$4)/SUM(G4:$K$4))</f>
        <v>0.11548731510047498</v>
      </c>
      <c r="K24" s="5">
        <f>IF(SUM(I4:$K$4)=0, "", SUMPRODUCT(I19:$K$19,I4:$K$4)/SUM(I4:$K$4))</f>
        <v>0.11876561154908778</v>
      </c>
      <c r="L24" s="5">
        <f>L19</f>
        <v>0.1178716253242246</v>
      </c>
      <c r="M24" s="16">
        <f>MAX(K24:L24)</f>
        <v>0.11876561154908778</v>
      </c>
      <c r="N24" s="16">
        <f>MIN(H24:L24)</f>
        <v>0.10580780606112929</v>
      </c>
    </row>
    <row r="25" spans="1:14" x14ac:dyDescent="0.3">
      <c r="G25" t="s">
        <v>23</v>
      </c>
      <c r="H25" s="6">
        <f>IF(ISERROR(AVERAGEIF(B14:$L14,"&gt;0")),"",AVERAGEIF(B14:$L14,"&gt;0"))</f>
        <v>18.195403061045365</v>
      </c>
      <c r="I25" s="6">
        <f>IF(ISERROR(AVERAGEIF(E14:$L14,"&gt;0")),"",AVERAGEIF(E14:$L14,"&gt;0"))</f>
        <v>22.29646361271632</v>
      </c>
      <c r="J25" s="6">
        <f>IF(ISERROR(AVERAGEIF(G14:$L14,"&gt;0")),"",AVERAGEIF(G14:$L14,"&gt;0"))</f>
        <v>22.29646361271632</v>
      </c>
      <c r="K25" s="6">
        <f>IF(ISERROR(AVERAGEIF(I14:$L14,"&gt;0")),"",AVERAGEIF(I14:$L14,"&gt;0"))</f>
        <v>22.29646361271632</v>
      </c>
      <c r="L25" s="6">
        <f>L14</f>
        <v>11.866421983635247</v>
      </c>
      <c r="M25" s="1">
        <f>MAX(K25:L25)</f>
        <v>22.29646361271632</v>
      </c>
      <c r="N25" s="1">
        <f>MIN(H25:L25)</f>
        <v>11.866421983635247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TATA MOTORS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45016</v>
      </c>
      <c r="C3" s="12">
        <f>'Data Sheet'!C41</f>
        <v>45107</v>
      </c>
      <c r="D3" s="12">
        <f>'Data Sheet'!D41</f>
        <v>45199</v>
      </c>
      <c r="E3" s="12">
        <f>'Data Sheet'!E41</f>
        <v>45291</v>
      </c>
      <c r="F3" s="12">
        <f>'Data Sheet'!F41</f>
        <v>45382</v>
      </c>
      <c r="G3" s="12">
        <f>'Data Sheet'!G41</f>
        <v>45473</v>
      </c>
      <c r="H3" s="12">
        <f>'Data Sheet'!H41</f>
        <v>45565</v>
      </c>
      <c r="I3" s="12">
        <f>'Data Sheet'!I41</f>
        <v>45657</v>
      </c>
      <c r="J3" s="12">
        <f>'Data Sheet'!J41</f>
        <v>45747</v>
      </c>
      <c r="K3" s="12">
        <f>'Data Sheet'!K41</f>
        <v>45838</v>
      </c>
    </row>
    <row r="4" spans="1:11" s="2" customFormat="1" x14ac:dyDescent="0.3">
      <c r="A4" s="2" t="s">
        <v>6</v>
      </c>
      <c r="B4" s="1">
        <f>'Data Sheet'!B42</f>
        <v>105932.35</v>
      </c>
      <c r="C4" s="1">
        <f>'Data Sheet'!C42</f>
        <v>102236</v>
      </c>
      <c r="D4" s="1">
        <f>'Data Sheet'!D42</f>
        <v>105129</v>
      </c>
      <c r="E4" s="1">
        <f>'Data Sheet'!E42</f>
        <v>110577</v>
      </c>
      <c r="F4" s="1">
        <f>'Data Sheet'!F42</f>
        <v>119033</v>
      </c>
      <c r="G4" s="1">
        <f>'Data Sheet'!G42</f>
        <v>107102</v>
      </c>
      <c r="H4" s="1">
        <f>'Data Sheet'!H42</f>
        <v>101450</v>
      </c>
      <c r="I4" s="1">
        <f>'Data Sheet'!I42</f>
        <v>112608</v>
      </c>
      <c r="J4" s="1">
        <f>'Data Sheet'!J42</f>
        <v>119503</v>
      </c>
      <c r="K4" s="1">
        <f>'Data Sheet'!K42</f>
        <v>104407</v>
      </c>
    </row>
    <row r="5" spans="1:11" x14ac:dyDescent="0.3">
      <c r="A5" t="s">
        <v>7</v>
      </c>
      <c r="B5" s="6">
        <f>'Data Sheet'!B43</f>
        <v>92817.95</v>
      </c>
      <c r="C5" s="6">
        <f>'Data Sheet'!C43</f>
        <v>89019</v>
      </c>
      <c r="D5" s="6">
        <f>'Data Sheet'!D43</f>
        <v>91362</v>
      </c>
      <c r="E5" s="6">
        <f>'Data Sheet'!E43</f>
        <v>95159</v>
      </c>
      <c r="F5" s="6">
        <f>'Data Sheet'!F43</f>
        <v>102348</v>
      </c>
      <c r="G5" s="6">
        <f>'Data Sheet'!G43</f>
        <v>91854</v>
      </c>
      <c r="H5" s="6">
        <f>'Data Sheet'!H43</f>
        <v>89291</v>
      </c>
      <c r="I5" s="6">
        <f>'Data Sheet'!I43</f>
        <v>100185</v>
      </c>
      <c r="J5" s="6">
        <f>'Data Sheet'!J43</f>
        <v>102685</v>
      </c>
      <c r="K5" s="6">
        <f>'Data Sheet'!K43</f>
        <v>94183</v>
      </c>
    </row>
    <row r="6" spans="1:11" s="2" customFormat="1" x14ac:dyDescent="0.3">
      <c r="A6" s="2" t="s">
        <v>8</v>
      </c>
      <c r="B6" s="1">
        <f>'Data Sheet'!B50</f>
        <v>13114.4</v>
      </c>
      <c r="C6" s="1">
        <f>'Data Sheet'!C50</f>
        <v>13217</v>
      </c>
      <c r="D6" s="1">
        <f>'Data Sheet'!D50</f>
        <v>13767</v>
      </c>
      <c r="E6" s="1">
        <f>'Data Sheet'!E50</f>
        <v>15418</v>
      </c>
      <c r="F6" s="1">
        <f>'Data Sheet'!F50</f>
        <v>16685</v>
      </c>
      <c r="G6" s="1">
        <f>'Data Sheet'!G50</f>
        <v>15248</v>
      </c>
      <c r="H6" s="1">
        <f>'Data Sheet'!H50</f>
        <v>12159</v>
      </c>
      <c r="I6" s="1">
        <f>'Data Sheet'!I50</f>
        <v>12423</v>
      </c>
      <c r="J6" s="1">
        <f>'Data Sheet'!J50</f>
        <v>16818</v>
      </c>
      <c r="K6" s="1">
        <f>'Data Sheet'!K50</f>
        <v>10224</v>
      </c>
    </row>
    <row r="7" spans="1:11" x14ac:dyDescent="0.3">
      <c r="A7" t="s">
        <v>9</v>
      </c>
      <c r="B7" s="6">
        <f>'Data Sheet'!B44</f>
        <v>1452.86</v>
      </c>
      <c r="C7" s="6">
        <f>'Data Sheet'!C44</f>
        <v>895</v>
      </c>
      <c r="D7" s="6">
        <f>'Data Sheet'!D44</f>
        <v>1557</v>
      </c>
      <c r="E7" s="6">
        <f>'Data Sheet'!E44</f>
        <v>1604</v>
      </c>
      <c r="F7" s="6">
        <f>'Data Sheet'!F44</f>
        <v>1412</v>
      </c>
      <c r="G7" s="6">
        <f>'Data Sheet'!G44</f>
        <v>6553</v>
      </c>
      <c r="H7" s="6">
        <f>'Data Sheet'!H44</f>
        <v>1647</v>
      </c>
      <c r="I7" s="6">
        <f>'Data Sheet'!I44</f>
        <v>1700</v>
      </c>
      <c r="J7" s="6">
        <f>'Data Sheet'!J44</f>
        <v>1057</v>
      </c>
      <c r="K7" s="6">
        <f>'Data Sheet'!K44</f>
        <v>1595</v>
      </c>
    </row>
    <row r="8" spans="1:11" x14ac:dyDescent="0.3">
      <c r="A8" t="s">
        <v>10</v>
      </c>
      <c r="B8" s="6">
        <f>'Data Sheet'!B45</f>
        <v>7050.2</v>
      </c>
      <c r="C8" s="6">
        <f>'Data Sheet'!C45</f>
        <v>6633</v>
      </c>
      <c r="D8" s="6">
        <f>'Data Sheet'!D45</f>
        <v>6637</v>
      </c>
      <c r="E8" s="6">
        <f>'Data Sheet'!E45</f>
        <v>6850</v>
      </c>
      <c r="F8" s="6">
        <f>'Data Sheet'!F45</f>
        <v>7143</v>
      </c>
      <c r="G8" s="6">
        <f>'Data Sheet'!G45</f>
        <v>6565</v>
      </c>
      <c r="H8" s="6">
        <f>'Data Sheet'!H45</f>
        <v>6005</v>
      </c>
      <c r="I8" s="6">
        <f>'Data Sheet'!I45</f>
        <v>5399</v>
      </c>
      <c r="J8" s="6">
        <f>'Data Sheet'!J45</f>
        <v>5295</v>
      </c>
      <c r="K8" s="6">
        <f>'Data Sheet'!K45</f>
        <v>5320</v>
      </c>
    </row>
    <row r="9" spans="1:11" x14ac:dyDescent="0.3">
      <c r="A9" t="s">
        <v>11</v>
      </c>
      <c r="B9" s="6">
        <f>'Data Sheet'!B46</f>
        <v>2641.67</v>
      </c>
      <c r="C9" s="6">
        <f>'Data Sheet'!C46</f>
        <v>2615</v>
      </c>
      <c r="D9" s="6">
        <f>'Data Sheet'!D46</f>
        <v>2652</v>
      </c>
      <c r="E9" s="6">
        <f>'Data Sheet'!E46</f>
        <v>2485</v>
      </c>
      <c r="F9" s="6">
        <f>'Data Sheet'!F46</f>
        <v>1645</v>
      </c>
      <c r="G9" s="6">
        <f>'Data Sheet'!G46</f>
        <v>1471</v>
      </c>
      <c r="H9" s="6">
        <f>'Data Sheet'!H46</f>
        <v>2034</v>
      </c>
      <c r="I9" s="6">
        <f>'Data Sheet'!I46</f>
        <v>1119</v>
      </c>
      <c r="J9" s="6">
        <f>'Data Sheet'!J46</f>
        <v>1076</v>
      </c>
      <c r="K9" s="6">
        <f>'Data Sheet'!K46</f>
        <v>938</v>
      </c>
    </row>
    <row r="10" spans="1:11" x14ac:dyDescent="0.3">
      <c r="A10" t="s">
        <v>12</v>
      </c>
      <c r="B10" s="6">
        <f>'Data Sheet'!B47</f>
        <v>4875.3900000000003</v>
      </c>
      <c r="C10" s="6">
        <f>'Data Sheet'!C47</f>
        <v>4864</v>
      </c>
      <c r="D10" s="6">
        <f>'Data Sheet'!D47</f>
        <v>6035</v>
      </c>
      <c r="E10" s="6">
        <f>'Data Sheet'!E47</f>
        <v>7687</v>
      </c>
      <c r="F10" s="6">
        <f>'Data Sheet'!F47</f>
        <v>9309</v>
      </c>
      <c r="G10" s="6">
        <f>'Data Sheet'!G47</f>
        <v>13765</v>
      </c>
      <c r="H10" s="6">
        <f>'Data Sheet'!H47</f>
        <v>5767</v>
      </c>
      <c r="I10" s="6">
        <f>'Data Sheet'!I47</f>
        <v>7605</v>
      </c>
      <c r="J10" s="6">
        <f>'Data Sheet'!J47</f>
        <v>11504</v>
      </c>
      <c r="K10" s="6">
        <f>'Data Sheet'!K47</f>
        <v>5561</v>
      </c>
    </row>
    <row r="11" spans="1:11" x14ac:dyDescent="0.3">
      <c r="A11" t="s">
        <v>13</v>
      </c>
      <c r="B11" s="6">
        <f>'Data Sheet'!B48</f>
        <v>-620.65</v>
      </c>
      <c r="C11" s="6">
        <f>'Data Sheet'!C48</f>
        <v>1563</v>
      </c>
      <c r="D11" s="6">
        <f>'Data Sheet'!D48</f>
        <v>2203</v>
      </c>
      <c r="E11" s="6">
        <f>'Data Sheet'!E48</f>
        <v>542</v>
      </c>
      <c r="F11" s="6">
        <f>'Data Sheet'!F48</f>
        <v>-8219</v>
      </c>
      <c r="G11" s="6">
        <f>'Data Sheet'!G48</f>
        <v>3178</v>
      </c>
      <c r="H11" s="6">
        <f>'Data Sheet'!H48</f>
        <v>2317</v>
      </c>
      <c r="I11" s="6">
        <f>'Data Sheet'!I48</f>
        <v>2120</v>
      </c>
      <c r="J11" s="6">
        <f>'Data Sheet'!J48</f>
        <v>2948</v>
      </c>
      <c r="K11" s="6">
        <f>'Data Sheet'!K48</f>
        <v>1558</v>
      </c>
    </row>
    <row r="12" spans="1:11" s="2" customFormat="1" x14ac:dyDescent="0.3">
      <c r="A12" s="2" t="s">
        <v>14</v>
      </c>
      <c r="B12" s="1">
        <f>'Data Sheet'!B49</f>
        <v>5407.79</v>
      </c>
      <c r="C12" s="1">
        <f>'Data Sheet'!C49</f>
        <v>3203</v>
      </c>
      <c r="D12" s="1">
        <f>'Data Sheet'!D49</f>
        <v>3764</v>
      </c>
      <c r="E12" s="1">
        <f>'Data Sheet'!E49</f>
        <v>7025</v>
      </c>
      <c r="F12" s="1">
        <f>'Data Sheet'!F49</f>
        <v>17407</v>
      </c>
      <c r="G12" s="1">
        <f>'Data Sheet'!G49</f>
        <v>10514</v>
      </c>
      <c r="H12" s="1">
        <f>'Data Sheet'!H49</f>
        <v>3343</v>
      </c>
      <c r="I12" s="1">
        <f>'Data Sheet'!I49</f>
        <v>5406</v>
      </c>
      <c r="J12" s="1">
        <f>'Data Sheet'!J49</f>
        <v>8470</v>
      </c>
      <c r="K12" s="1">
        <f>'Data Sheet'!K49</f>
        <v>3924</v>
      </c>
    </row>
    <row r="14" spans="1:11" s="2" customFormat="1" x14ac:dyDescent="0.3">
      <c r="A14" s="2" t="s">
        <v>18</v>
      </c>
      <c r="B14" s="10">
        <f>IF(B4&gt;0,B6/B4,"")</f>
        <v>0.1237997646611257</v>
      </c>
      <c r="C14" s="10">
        <f t="shared" ref="C14:K14" si="0">IF(C4&gt;0,C6/C4,"")</f>
        <v>0.12927931452717242</v>
      </c>
      <c r="D14" s="10">
        <f t="shared" si="0"/>
        <v>0.1309534001084382</v>
      </c>
      <c r="E14" s="10">
        <f t="shared" si="0"/>
        <v>0.13943225082973856</v>
      </c>
      <c r="F14" s="10">
        <f t="shared" si="0"/>
        <v>0.14017121302495947</v>
      </c>
      <c r="G14" s="10">
        <f t="shared" si="0"/>
        <v>0.14236895669548655</v>
      </c>
      <c r="H14" s="10">
        <f t="shared" si="0"/>
        <v>0.11985214391325777</v>
      </c>
      <c r="I14" s="10">
        <f t="shared" si="0"/>
        <v>0.11032075873827792</v>
      </c>
      <c r="J14" s="10">
        <f t="shared" si="0"/>
        <v>0.14073286863091303</v>
      </c>
      <c r="K14" s="10">
        <f t="shared" si="0"/>
        <v>9.7924468665894049E-2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TATA MOTORS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679.18</v>
      </c>
      <c r="C4" s="14">
        <f>'Data Sheet'!C57</f>
        <v>679.22</v>
      </c>
      <c r="D4" s="14">
        <f>'Data Sheet'!D57</f>
        <v>679.22</v>
      </c>
      <c r="E4" s="14">
        <f>'Data Sheet'!E57</f>
        <v>679.22</v>
      </c>
      <c r="F4" s="14">
        <f>'Data Sheet'!F57</f>
        <v>719.54</v>
      </c>
      <c r="G4" s="14">
        <f>'Data Sheet'!G57</f>
        <v>765.81</v>
      </c>
      <c r="H4" s="14">
        <f>'Data Sheet'!H57</f>
        <v>765.88</v>
      </c>
      <c r="I4" s="14">
        <f>'Data Sheet'!I57</f>
        <v>766.02</v>
      </c>
      <c r="J4" s="14">
        <f>'Data Sheet'!J57</f>
        <v>767</v>
      </c>
      <c r="K4" s="14">
        <f>'Data Sheet'!K57</f>
        <v>736</v>
      </c>
    </row>
    <row r="5" spans="1:11" x14ac:dyDescent="0.3">
      <c r="A5" t="s">
        <v>25</v>
      </c>
      <c r="B5" s="14">
        <f>'Data Sheet'!B58</f>
        <v>78273.23</v>
      </c>
      <c r="C5" s="14">
        <f>'Data Sheet'!C58</f>
        <v>57382.67</v>
      </c>
      <c r="D5" s="14">
        <f>'Data Sheet'!D58</f>
        <v>94748.69</v>
      </c>
      <c r="E5" s="14">
        <f>'Data Sheet'!E58</f>
        <v>59500.34</v>
      </c>
      <c r="F5" s="14">
        <f>'Data Sheet'!F58</f>
        <v>62358.99</v>
      </c>
      <c r="G5" s="14">
        <f>'Data Sheet'!G58</f>
        <v>54480.91</v>
      </c>
      <c r="H5" s="14">
        <f>'Data Sheet'!H58</f>
        <v>43795.360000000001</v>
      </c>
      <c r="I5" s="14">
        <f>'Data Sheet'!I58</f>
        <v>44555.77</v>
      </c>
      <c r="J5" s="14">
        <f>'Data Sheet'!J58</f>
        <v>84151</v>
      </c>
      <c r="K5" s="14">
        <f>'Data Sheet'!K58</f>
        <v>115408</v>
      </c>
    </row>
    <row r="6" spans="1:11" x14ac:dyDescent="0.3">
      <c r="A6" t="s">
        <v>71</v>
      </c>
      <c r="B6" s="14">
        <f>'Data Sheet'!B59</f>
        <v>69359.960000000006</v>
      </c>
      <c r="C6" s="14">
        <f>'Data Sheet'!C59</f>
        <v>78603.98</v>
      </c>
      <c r="D6" s="14">
        <f>'Data Sheet'!D59</f>
        <v>88950.47</v>
      </c>
      <c r="E6" s="14">
        <f>'Data Sheet'!E59</f>
        <v>106175.34</v>
      </c>
      <c r="F6" s="14">
        <f>'Data Sheet'!F59</f>
        <v>124787.64</v>
      </c>
      <c r="G6" s="14">
        <f>'Data Sheet'!G59</f>
        <v>142130.57</v>
      </c>
      <c r="H6" s="14">
        <f>'Data Sheet'!H59</f>
        <v>146449.03</v>
      </c>
      <c r="I6" s="14">
        <f>'Data Sheet'!I59</f>
        <v>134113.44</v>
      </c>
      <c r="J6" s="14">
        <f>'Data Sheet'!J59</f>
        <v>107264</v>
      </c>
      <c r="K6" s="14">
        <f>'Data Sheet'!K59</f>
        <v>71540</v>
      </c>
    </row>
    <row r="7" spans="1:11" x14ac:dyDescent="0.3">
      <c r="A7" t="s">
        <v>72</v>
      </c>
      <c r="B7" s="14">
        <f>'Data Sheet'!B60</f>
        <v>114871.75</v>
      </c>
      <c r="C7" s="14">
        <f>'Data Sheet'!C60</f>
        <v>135914.49</v>
      </c>
      <c r="D7" s="14">
        <f>'Data Sheet'!D60</f>
        <v>142813.43</v>
      </c>
      <c r="E7" s="14">
        <f>'Data Sheet'!E60</f>
        <v>139348.59</v>
      </c>
      <c r="F7" s="14">
        <f>'Data Sheet'!F60</f>
        <v>132313.22</v>
      </c>
      <c r="G7" s="14">
        <f>'Data Sheet'!G60</f>
        <v>144192.62</v>
      </c>
      <c r="H7" s="14">
        <f>'Data Sheet'!H60</f>
        <v>138051.22</v>
      </c>
      <c r="I7" s="14">
        <f>'Data Sheet'!I60</f>
        <v>155239.20000000001</v>
      </c>
      <c r="J7" s="14">
        <f>'Data Sheet'!J60</f>
        <v>177339</v>
      </c>
      <c r="K7" s="14">
        <f>'Data Sheet'!K60</f>
        <v>189289</v>
      </c>
    </row>
    <row r="8" spans="1:11" s="2" customFormat="1" x14ac:dyDescent="0.3">
      <c r="A8" s="2" t="s">
        <v>26</v>
      </c>
      <c r="B8" s="15">
        <f>'Data Sheet'!B61</f>
        <v>263184.12</v>
      </c>
      <c r="C8" s="15">
        <f>'Data Sheet'!C61</f>
        <v>272580.36</v>
      </c>
      <c r="D8" s="15">
        <f>'Data Sheet'!D61</f>
        <v>327191.81</v>
      </c>
      <c r="E8" s="15">
        <f>'Data Sheet'!E61</f>
        <v>305703.49</v>
      </c>
      <c r="F8" s="15">
        <f>'Data Sheet'!F61</f>
        <v>320179.39</v>
      </c>
      <c r="G8" s="15">
        <f>'Data Sheet'!G61</f>
        <v>341569.91</v>
      </c>
      <c r="H8" s="15">
        <f>'Data Sheet'!H61</f>
        <v>329061.49</v>
      </c>
      <c r="I8" s="15">
        <f>'Data Sheet'!I61</f>
        <v>334674.43</v>
      </c>
      <c r="J8" s="15">
        <f>'Data Sheet'!J61</f>
        <v>369521</v>
      </c>
      <c r="K8" s="15">
        <f>'Data Sheet'!K61</f>
        <v>376973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107231.76</v>
      </c>
      <c r="C10" s="14">
        <f>'Data Sheet'!C62</f>
        <v>95944.08</v>
      </c>
      <c r="D10" s="14">
        <f>'Data Sheet'!D62</f>
        <v>121413.86</v>
      </c>
      <c r="E10" s="14">
        <f>'Data Sheet'!E62</f>
        <v>111234.47</v>
      </c>
      <c r="F10" s="14">
        <f>'Data Sheet'!F62</f>
        <v>127107.14</v>
      </c>
      <c r="G10" s="14">
        <f>'Data Sheet'!G62</f>
        <v>138707.60999999999</v>
      </c>
      <c r="H10" s="14">
        <f>'Data Sheet'!H62</f>
        <v>138855.45000000001</v>
      </c>
      <c r="I10" s="14">
        <f>'Data Sheet'!I62</f>
        <v>132079.76</v>
      </c>
      <c r="J10" s="14">
        <f>'Data Sheet'!J62</f>
        <v>121285</v>
      </c>
      <c r="K10" s="14">
        <f>'Data Sheet'!K62</f>
        <v>115697</v>
      </c>
    </row>
    <row r="11" spans="1:11" x14ac:dyDescent="0.3">
      <c r="A11" t="s">
        <v>28</v>
      </c>
      <c r="B11" s="14">
        <f>'Data Sheet'!B63</f>
        <v>25918.94</v>
      </c>
      <c r="C11" s="14">
        <f>'Data Sheet'!C63</f>
        <v>33698.839999999997</v>
      </c>
      <c r="D11" s="14">
        <f>'Data Sheet'!D63</f>
        <v>40033.5</v>
      </c>
      <c r="E11" s="14">
        <f>'Data Sheet'!E63</f>
        <v>31883.84</v>
      </c>
      <c r="F11" s="14">
        <f>'Data Sheet'!F63</f>
        <v>35622.29</v>
      </c>
      <c r="G11" s="14">
        <f>'Data Sheet'!G63</f>
        <v>20963.93</v>
      </c>
      <c r="H11" s="14">
        <f>'Data Sheet'!H63</f>
        <v>10251.09</v>
      </c>
      <c r="I11" s="14">
        <f>'Data Sheet'!I63</f>
        <v>14274.5</v>
      </c>
      <c r="J11" s="14">
        <f>'Data Sheet'!J63</f>
        <v>35698</v>
      </c>
      <c r="K11" s="14">
        <f>'Data Sheet'!K63</f>
        <v>65806</v>
      </c>
    </row>
    <row r="12" spans="1:11" x14ac:dyDescent="0.3">
      <c r="A12" t="s">
        <v>29</v>
      </c>
      <c r="B12" s="14">
        <f>'Data Sheet'!B64</f>
        <v>23767.02</v>
      </c>
      <c r="C12" s="14">
        <f>'Data Sheet'!C64</f>
        <v>20337.919999999998</v>
      </c>
      <c r="D12" s="14">
        <f>'Data Sheet'!D64</f>
        <v>20812.75</v>
      </c>
      <c r="E12" s="14">
        <f>'Data Sheet'!E64</f>
        <v>15770.72</v>
      </c>
      <c r="F12" s="14">
        <f>'Data Sheet'!F64</f>
        <v>16308.48</v>
      </c>
      <c r="G12" s="14">
        <f>'Data Sheet'!G64</f>
        <v>24620.28</v>
      </c>
      <c r="H12" s="14">
        <f>'Data Sheet'!H64</f>
        <v>29379.53</v>
      </c>
      <c r="I12" s="14">
        <f>'Data Sheet'!I64</f>
        <v>26379.16</v>
      </c>
      <c r="J12" s="14">
        <f>'Data Sheet'!J64</f>
        <v>22971</v>
      </c>
      <c r="K12" s="14">
        <f>'Data Sheet'!K64</f>
        <v>35656</v>
      </c>
    </row>
    <row r="13" spans="1:11" x14ac:dyDescent="0.3">
      <c r="A13" t="s">
        <v>73</v>
      </c>
      <c r="B13" s="14">
        <f>'Data Sheet'!B65</f>
        <v>106266.4</v>
      </c>
      <c r="C13" s="14">
        <f>'Data Sheet'!C65</f>
        <v>122599.52</v>
      </c>
      <c r="D13" s="14">
        <f>'Data Sheet'!D65</f>
        <v>144931.70000000001</v>
      </c>
      <c r="E13" s="14">
        <f>'Data Sheet'!E65</f>
        <v>146814.46</v>
      </c>
      <c r="F13" s="14">
        <f>'Data Sheet'!F65</f>
        <v>141141.48000000001</v>
      </c>
      <c r="G13" s="14">
        <f>'Data Sheet'!G65</f>
        <v>157278.09</v>
      </c>
      <c r="H13" s="14">
        <f>'Data Sheet'!H65</f>
        <v>150575.42000000001</v>
      </c>
      <c r="I13" s="14">
        <f>'Data Sheet'!I65</f>
        <v>161941.01</v>
      </c>
      <c r="J13" s="14">
        <f>'Data Sheet'!J65</f>
        <v>189567</v>
      </c>
      <c r="K13" s="14">
        <f>'Data Sheet'!K65</f>
        <v>159814</v>
      </c>
    </row>
    <row r="14" spans="1:11" s="2" customFormat="1" x14ac:dyDescent="0.3">
      <c r="A14" s="2" t="s">
        <v>26</v>
      </c>
      <c r="B14" s="14">
        <f>'Data Sheet'!B66</f>
        <v>263184.12</v>
      </c>
      <c r="C14" s="14">
        <f>'Data Sheet'!C66</f>
        <v>272580.36</v>
      </c>
      <c r="D14" s="14">
        <f>'Data Sheet'!D66</f>
        <v>327191.81</v>
      </c>
      <c r="E14" s="14">
        <f>'Data Sheet'!E66</f>
        <v>305703.49</v>
      </c>
      <c r="F14" s="14">
        <f>'Data Sheet'!F66</f>
        <v>320179.39</v>
      </c>
      <c r="G14" s="14">
        <f>'Data Sheet'!G66</f>
        <v>341569.91</v>
      </c>
      <c r="H14" s="14">
        <f>'Data Sheet'!H66</f>
        <v>329061.49</v>
      </c>
      <c r="I14" s="14">
        <f>'Data Sheet'!I66</f>
        <v>334674.43</v>
      </c>
      <c r="J14" s="14">
        <f>'Data Sheet'!J66</f>
        <v>369521</v>
      </c>
      <c r="K14" s="14">
        <f>'Data Sheet'!K66</f>
        <v>376973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-8605.3500000000058</v>
      </c>
      <c r="C16" s="4">
        <f t="shared" ref="C16:K16" si="0">C13-C7</f>
        <v>-13314.969999999987</v>
      </c>
      <c r="D16" s="4">
        <f t="shared" si="0"/>
        <v>2118.2700000000186</v>
      </c>
      <c r="E16" s="4">
        <f t="shared" si="0"/>
        <v>7465.8699999999953</v>
      </c>
      <c r="F16" s="4">
        <f t="shared" si="0"/>
        <v>8828.2600000000093</v>
      </c>
      <c r="G16" s="4">
        <f t="shared" si="0"/>
        <v>13085.470000000001</v>
      </c>
      <c r="H16" s="4">
        <f t="shared" si="0"/>
        <v>12524.200000000012</v>
      </c>
      <c r="I16" s="4">
        <f t="shared" si="0"/>
        <v>6701.8099999999977</v>
      </c>
      <c r="J16" s="4">
        <f t="shared" si="0"/>
        <v>12228</v>
      </c>
      <c r="K16" s="4">
        <f t="shared" si="0"/>
        <v>-29475</v>
      </c>
    </row>
    <row r="17" spans="1:11" x14ac:dyDescent="0.3">
      <c r="A17" t="s">
        <v>44</v>
      </c>
      <c r="B17" s="4">
        <f>'Data Sheet'!B67</f>
        <v>13570.91</v>
      </c>
      <c r="C17" s="4">
        <f>'Data Sheet'!C67</f>
        <v>14075.55</v>
      </c>
      <c r="D17" s="4">
        <f>'Data Sheet'!D67</f>
        <v>19893.3</v>
      </c>
      <c r="E17" s="4">
        <f>'Data Sheet'!E67</f>
        <v>18996.169999999998</v>
      </c>
      <c r="F17" s="4">
        <f>'Data Sheet'!F67</f>
        <v>11172.69</v>
      </c>
      <c r="G17" s="4">
        <f>'Data Sheet'!G67</f>
        <v>12679.08</v>
      </c>
      <c r="H17" s="4">
        <f>'Data Sheet'!H67</f>
        <v>12442.12</v>
      </c>
      <c r="I17" s="4">
        <f>'Data Sheet'!I67</f>
        <v>15737.97</v>
      </c>
      <c r="J17" s="4">
        <f>'Data Sheet'!J67</f>
        <v>16952</v>
      </c>
      <c r="K17" s="4">
        <f>'Data Sheet'!K67</f>
        <v>13248</v>
      </c>
    </row>
    <row r="18" spans="1:11" x14ac:dyDescent="0.3">
      <c r="A18" t="s">
        <v>45</v>
      </c>
      <c r="B18" s="4">
        <f>'Data Sheet'!B68</f>
        <v>32655.73</v>
      </c>
      <c r="C18" s="4">
        <f>'Data Sheet'!C68</f>
        <v>35085.31</v>
      </c>
      <c r="D18" s="4">
        <f>'Data Sheet'!D68</f>
        <v>42137.63</v>
      </c>
      <c r="E18" s="4">
        <f>'Data Sheet'!E68</f>
        <v>39013.730000000003</v>
      </c>
      <c r="F18" s="4">
        <f>'Data Sheet'!F68</f>
        <v>37456.879999999997</v>
      </c>
      <c r="G18" s="4">
        <f>'Data Sheet'!G68</f>
        <v>36088.589999999997</v>
      </c>
      <c r="H18" s="4">
        <f>'Data Sheet'!H68</f>
        <v>35240.339999999997</v>
      </c>
      <c r="I18" s="4">
        <f>'Data Sheet'!I68</f>
        <v>40755.39</v>
      </c>
      <c r="J18" s="4">
        <f>'Data Sheet'!J68</f>
        <v>47788</v>
      </c>
      <c r="K18" s="4">
        <f>'Data Sheet'!K68</f>
        <v>47269</v>
      </c>
    </row>
    <row r="20" spans="1:11" x14ac:dyDescent="0.3">
      <c r="A20" t="s">
        <v>46</v>
      </c>
      <c r="B20" s="4">
        <f>IF('Profit &amp; Loss'!B4&gt;0,'Balance Sheet'!B17/('Profit &amp; Loss'!B4/365),0)</f>
        <v>18.141226776772818</v>
      </c>
      <c r="C20" s="4">
        <f>IF('Profit &amp; Loss'!C4&gt;0,'Balance Sheet'!C17/('Profit &amp; Loss'!C4/365),0)</f>
        <v>19.049753180019717</v>
      </c>
      <c r="D20" s="4">
        <f>IF('Profit &amp; Loss'!D4&gt;0,'Balance Sheet'!D17/('Profit &amp; Loss'!D4/365),0)</f>
        <v>24.904964999543132</v>
      </c>
      <c r="E20" s="4">
        <f>IF('Profit &amp; Loss'!E4&gt;0,'Balance Sheet'!E17/('Profit &amp; Loss'!E4/365),0)</f>
        <v>22.963631157878556</v>
      </c>
      <c r="F20" s="4">
        <f>IF('Profit &amp; Loss'!F4&gt;0,'Balance Sheet'!F17/('Profit &amp; Loss'!F4/365),0)</f>
        <v>15.62057517051977</v>
      </c>
      <c r="G20" s="4">
        <f>IF('Profit &amp; Loss'!G4&gt;0,'Balance Sheet'!G17/('Profit &amp; Loss'!G4/365),0)</f>
        <v>18.526667193766084</v>
      </c>
      <c r="H20" s="4">
        <f>IF('Profit &amp; Loss'!H4&gt;0,'Balance Sheet'!H17/('Profit &amp; Loss'!H4/365),0)</f>
        <v>16.309264717046958</v>
      </c>
      <c r="I20" s="4">
        <f>IF('Profit &amp; Loss'!I4&gt;0,'Balance Sheet'!I17/('Profit &amp; Loss'!I4/365),0)</f>
        <v>16.603778823163381</v>
      </c>
      <c r="J20" s="4">
        <f>IF('Profit &amp; Loss'!J4&gt;0,'Balance Sheet'!J17/('Profit &amp; Loss'!J4/365),0)</f>
        <v>14.256340780063409</v>
      </c>
      <c r="K20" s="4">
        <f>IF('Profit &amp; Loss'!K4&gt;0,'Balance Sheet'!K17/('Profit &amp; Loss'!K4/365),0)</f>
        <v>10.9974414082489</v>
      </c>
    </row>
    <row r="21" spans="1:11" x14ac:dyDescent="0.3">
      <c r="A21" t="s">
        <v>47</v>
      </c>
      <c r="B21" s="4">
        <f>IF('Balance Sheet'!B18&gt;0,'Profit &amp; Loss'!B4/'Balance Sheet'!B18,0)</f>
        <v>8.3613381173839922</v>
      </c>
      <c r="C21" s="4">
        <f>IF('Balance Sheet'!C18&gt;0,'Profit &amp; Loss'!C4/'Balance Sheet'!C18,0)</f>
        <v>7.6867643466738649</v>
      </c>
      <c r="D21" s="4">
        <f>IF('Balance Sheet'!D18&gt;0,'Profit &amp; Loss'!D4/'Balance Sheet'!D18,0)</f>
        <v>6.9190051742350009</v>
      </c>
      <c r="E21" s="4">
        <f>IF('Balance Sheet'!E18&gt;0,'Profit &amp; Loss'!E4/'Balance Sheet'!E18,0)</f>
        <v>7.7392856309817084</v>
      </c>
      <c r="F21" s="4">
        <f>IF('Balance Sheet'!F18&gt;0,'Profit &amp; Loss'!F4/'Balance Sheet'!F18,0)</f>
        <v>6.9698269049637886</v>
      </c>
      <c r="G21" s="4">
        <f>IF('Balance Sheet'!G18&gt;0,'Profit &amp; Loss'!G4/'Balance Sheet'!G18,0)</f>
        <v>6.9217098811563442</v>
      </c>
      <c r="H21" s="4">
        <f>IF('Balance Sheet'!H18&gt;0,'Profit &amp; Loss'!H4/'Balance Sheet'!H18,0)</f>
        <v>7.9015588385356104</v>
      </c>
      <c r="I21" s="4">
        <f>IF('Balance Sheet'!I18&gt;0,'Profit &amp; Loss'!I4/'Balance Sheet'!I18,0)</f>
        <v>8.4888641723217457</v>
      </c>
      <c r="J21" s="4">
        <f>IF('Balance Sheet'!J18&gt;0,'Profit &amp; Loss'!J4/'Balance Sheet'!J18,0)</f>
        <v>9.0821126642671803</v>
      </c>
      <c r="K21" s="4">
        <f>IF('Balance Sheet'!K18&gt;0,'Profit &amp; Loss'!K4/'Balance Sheet'!K18,0)</f>
        <v>9.3019738094734397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0.14666189417143824</v>
      </c>
      <c r="C23" s="10">
        <f>IF(SUM('Balance Sheet'!C4:C5)&gt;0,'Profit &amp; Loss'!C12/SUM('Balance Sheet'!C4:C5),"")</f>
        <v>0.1283864510783235</v>
      </c>
      <c r="D23" s="10">
        <f>IF(SUM('Balance Sheet'!D4:D5)&gt;0,'Profit &amp; Loss'!D12/SUM('Balance Sheet'!D4:D5),"")</f>
        <v>9.4195817554843228E-2</v>
      </c>
      <c r="E23" s="10">
        <f>IF(SUM('Balance Sheet'!E4:E5)&gt;0,'Profit &amp; Loss'!E12/SUM('Balance Sheet'!E4:E5),"")</f>
        <v>-0.47900366835516911</v>
      </c>
      <c r="F23" s="10">
        <f>IF(SUM('Balance Sheet'!F4:F5)&gt;0,'Profit &amp; Loss'!F12/SUM('Balance Sheet'!F4:F5),"")</f>
        <v>-0.19136225907610721</v>
      </c>
      <c r="G23" s="10">
        <f>IF(SUM('Balance Sheet'!G4:G5)&gt;0,'Profit &amp; Loss'!G12/SUM('Balance Sheet'!G4:G5),"")</f>
        <v>-0.24347852687001145</v>
      </c>
      <c r="H23" s="10">
        <f>IF(SUM('Balance Sheet'!H4:H5)&gt;0,'Profit &amp; Loss'!H12/SUM('Balance Sheet'!H4:H5),"")</f>
        <v>-0.25675833975894746</v>
      </c>
      <c r="I23" s="10">
        <f>IF(SUM('Balance Sheet'!I4:I5)&gt;0,'Profit &amp; Loss'!I12/SUM('Balance Sheet'!I4:I5),"")</f>
        <v>5.326996131441411E-2</v>
      </c>
      <c r="J23" s="10">
        <f>IF(SUM('Balance Sheet'!J4:J5)&gt;0,'Profit &amp; Loss'!J12/SUM('Balance Sheet'!J4:J5),"")</f>
        <v>0.36975670646977082</v>
      </c>
      <c r="K23" s="10">
        <f>IF(SUM('Balance Sheet'!K4:K5)&gt;0,'Profit &amp; Loss'!K12/SUM('Balance Sheet'!K4:K5),"")</f>
        <v>0.23961633833861412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9.5114630506525702E-2</v>
      </c>
      <c r="D24" s="10">
        <f>IF((C4+C5+C6+D4+D5+D6)&gt;0,('Profit &amp; Loss'!D10+'Profit &amp; Loss'!D9)*2/(C4+C5+C6+D4+D5+D6),"")</f>
        <v>9.8658175625322669E-2</v>
      </c>
      <c r="E24" s="10">
        <f>IF((D4+D5+D6+E4+E5+E6)&gt;0,('Profit &amp; Loss'!E10+'Profit &amp; Loss'!E9)*2/(D4+D5+D6+E4+E5+E6),"")</f>
        <v>-0.14605143828951733</v>
      </c>
      <c r="F24" s="10">
        <f>IF((E4+E5+E6+F4+F5+F6)&gt;0,('Profit &amp; Loss'!F10+'Profit &amp; Loss'!F9)*2/(E4+E5+E6+F4+F5+F6),"")</f>
        <v>-1.8839364919766063E-2</v>
      </c>
      <c r="G24" s="10">
        <f>IF((F4+F5+F6+G4+G5+G6)&gt;0,('Profit &amp; Loss'!G10+'Profit &amp; Loss'!G9)*2/(F4+F5+F6+G4+G5+G6),"")</f>
        <v>-1.2340819491134259E-2</v>
      </c>
      <c r="H24" s="10">
        <f>IF((G4+G5+G6+H4+H5+H6)&gt;0,('Profit &amp; Loss'!H10+'Profit &amp; Loss'!H9)*2/(G4+G5+G6+H4+H5+H6),"")</f>
        <v>1.1887352931695343E-2</v>
      </c>
      <c r="I24" s="10">
        <f>IF((H4+H5+H6+I4+I5+I6)&gt;0,('Profit &amp; Loss'!I10+'Profit &amp; Loss'!I9)*2/(H4+H5+H6+I4+I5+I6),"")</f>
        <v>7.3529898460097373E-2</v>
      </c>
      <c r="J24" s="10">
        <f>IF((I4+I5+I6+J4+J5+J6)&gt;0,('Profit &amp; Loss'!J10+'Profit &amp; Loss'!J9)*2/(I4+I5+I6+J4+J5+J6),"")</f>
        <v>0.19039483180045233</v>
      </c>
      <c r="K24" s="10">
        <f>IF((J4+J5+J6+K4+K5+K6)&gt;0,('Profit &amp; Loss'!K10+'Profit &amp; Loss'!K9)*2/(J4+J5+J6+K4+K5+K6),"")</f>
        <v>0.23026014436669773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TATA MOTORS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37899.54</v>
      </c>
      <c r="C4" s="1">
        <f>'Data Sheet'!C82</f>
        <v>30199.25</v>
      </c>
      <c r="D4" s="1">
        <f>'Data Sheet'!D82</f>
        <v>23857.42</v>
      </c>
      <c r="E4" s="1">
        <f>'Data Sheet'!E82</f>
        <v>18890.75</v>
      </c>
      <c r="F4" s="1">
        <f>'Data Sheet'!F82</f>
        <v>26632.94</v>
      </c>
      <c r="G4" s="1">
        <f>'Data Sheet'!G82</f>
        <v>29000.51</v>
      </c>
      <c r="H4" s="1">
        <f>'Data Sheet'!H82</f>
        <v>14282.83</v>
      </c>
      <c r="I4" s="1">
        <f>'Data Sheet'!I82</f>
        <v>35388.01</v>
      </c>
      <c r="J4" s="1">
        <f>'Data Sheet'!J82</f>
        <v>67915</v>
      </c>
      <c r="K4" s="1">
        <f>'Data Sheet'!K82</f>
        <v>63102</v>
      </c>
    </row>
    <row r="5" spans="1:11" x14ac:dyDescent="0.3">
      <c r="A5" t="s">
        <v>33</v>
      </c>
      <c r="B5" s="6">
        <f>'Data Sheet'!B83</f>
        <v>-36693.9</v>
      </c>
      <c r="C5" s="6">
        <f>'Data Sheet'!C83</f>
        <v>-39571.4</v>
      </c>
      <c r="D5" s="6">
        <f>'Data Sheet'!D83</f>
        <v>-25139.14</v>
      </c>
      <c r="E5" s="6">
        <f>'Data Sheet'!E83</f>
        <v>-20878.07</v>
      </c>
      <c r="F5" s="6">
        <f>'Data Sheet'!F83</f>
        <v>-33114.550000000003</v>
      </c>
      <c r="G5" s="6">
        <f>'Data Sheet'!G83</f>
        <v>-25672.5</v>
      </c>
      <c r="H5" s="6">
        <f>'Data Sheet'!H83</f>
        <v>-4443.66</v>
      </c>
      <c r="I5" s="6">
        <f>'Data Sheet'!I83</f>
        <v>-15417.17</v>
      </c>
      <c r="J5" s="6">
        <f>'Data Sheet'!J83</f>
        <v>-22781</v>
      </c>
      <c r="K5" s="6">
        <f>'Data Sheet'!K83</f>
        <v>-49982</v>
      </c>
    </row>
    <row r="6" spans="1:11" x14ac:dyDescent="0.3">
      <c r="A6" t="s">
        <v>34</v>
      </c>
      <c r="B6" s="6">
        <f>'Data Sheet'!B84</f>
        <v>-3795.12</v>
      </c>
      <c r="C6" s="6">
        <f>'Data Sheet'!C84</f>
        <v>6205.3</v>
      </c>
      <c r="D6" s="6">
        <f>'Data Sheet'!D84</f>
        <v>2011.71</v>
      </c>
      <c r="E6" s="6">
        <f>'Data Sheet'!E84</f>
        <v>8830.3700000000008</v>
      </c>
      <c r="F6" s="6">
        <f>'Data Sheet'!F84</f>
        <v>3389.61</v>
      </c>
      <c r="G6" s="6">
        <f>'Data Sheet'!G84</f>
        <v>9904.2000000000007</v>
      </c>
      <c r="H6" s="6">
        <f>'Data Sheet'!H84</f>
        <v>-3380.17</v>
      </c>
      <c r="I6" s="6">
        <f>'Data Sheet'!I84</f>
        <v>-26242.9</v>
      </c>
      <c r="J6" s="6">
        <f>'Data Sheet'!J84</f>
        <v>-37006</v>
      </c>
      <c r="K6" s="6">
        <f>'Data Sheet'!K84</f>
        <v>-18786</v>
      </c>
    </row>
    <row r="7" spans="1:11" s="2" customFormat="1" x14ac:dyDescent="0.3">
      <c r="A7" s="2" t="s">
        <v>35</v>
      </c>
      <c r="B7" s="1">
        <f>'Data Sheet'!B85</f>
        <v>-2589.48</v>
      </c>
      <c r="C7" s="1">
        <f>'Data Sheet'!C85</f>
        <v>-3166.85</v>
      </c>
      <c r="D7" s="1">
        <f>'Data Sheet'!D85</f>
        <v>729.99</v>
      </c>
      <c r="E7" s="1">
        <f>'Data Sheet'!E85</f>
        <v>6843.05</v>
      </c>
      <c r="F7" s="1">
        <f>'Data Sheet'!F85</f>
        <v>-3092</v>
      </c>
      <c r="G7" s="1">
        <f>'Data Sheet'!G85</f>
        <v>13232.21</v>
      </c>
      <c r="H7" s="1">
        <f>'Data Sheet'!H85</f>
        <v>6459</v>
      </c>
      <c r="I7" s="1">
        <f>'Data Sheet'!I85</f>
        <v>-6272.06</v>
      </c>
      <c r="J7" s="1">
        <f>'Data Sheet'!J85</f>
        <v>8128</v>
      </c>
      <c r="K7" s="1">
        <f>'Data Sheet'!K85</f>
        <v>-5666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tabSelected="1"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368.36258992805756</v>
      </c>
    </row>
    <row r="7" spans="1:11" x14ac:dyDescent="0.3">
      <c r="A7" s="4" t="s">
        <v>31</v>
      </c>
      <c r="B7">
        <v>2</v>
      </c>
    </row>
    <row r="8" spans="1:11" x14ac:dyDescent="0.3">
      <c r="A8" s="4" t="s">
        <v>43</v>
      </c>
      <c r="B8">
        <v>681.1</v>
      </c>
    </row>
    <row r="9" spans="1:11" x14ac:dyDescent="0.3">
      <c r="A9" s="4" t="s">
        <v>79</v>
      </c>
      <c r="B9">
        <v>250891.76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3">
      <c r="A18" s="4" t="s">
        <v>80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3">
      <c r="A19" s="4" t="s">
        <v>81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3">
      <c r="A20" s="4" t="s">
        <v>82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3">
      <c r="A21" s="4" t="s">
        <v>83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3">
      <c r="A22" s="4" t="s">
        <v>84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3">
      <c r="A23" s="4" t="s">
        <v>85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3">
      <c r="A24" s="4" t="s">
        <v>86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6" customFormat="1" x14ac:dyDescent="0.3">
      <c r="A25" s="6" t="s">
        <v>9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6" customFormat="1" x14ac:dyDescent="0.3">
      <c r="A26" s="6" t="s">
        <v>10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3">
      <c r="A27" s="6" t="s">
        <v>11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3">
      <c r="A28" s="6" t="s">
        <v>12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3">
      <c r="A29" s="6" t="s">
        <v>13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3">
      <c r="A30" s="6" t="s">
        <v>14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3">
      <c r="A31" s="6" t="s">
        <v>70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45016</v>
      </c>
      <c r="C41" s="12">
        <v>45107</v>
      </c>
      <c r="D41" s="12">
        <v>45199</v>
      </c>
      <c r="E41" s="12">
        <v>45291</v>
      </c>
      <c r="F41" s="12">
        <v>45382</v>
      </c>
      <c r="G41" s="12">
        <v>45473</v>
      </c>
      <c r="H41" s="12">
        <v>45565</v>
      </c>
      <c r="I41" s="12">
        <v>45657</v>
      </c>
      <c r="J41" s="12">
        <v>45747</v>
      </c>
      <c r="K41" s="12">
        <v>45838</v>
      </c>
    </row>
    <row r="42" spans="1:11" s="6" customFormat="1" x14ac:dyDescent="0.3">
      <c r="A42" s="6" t="s">
        <v>6</v>
      </c>
      <c r="B42">
        <v>105932.35</v>
      </c>
      <c r="C42">
        <v>102236</v>
      </c>
      <c r="D42">
        <v>105129</v>
      </c>
      <c r="E42">
        <v>110577</v>
      </c>
      <c r="F42">
        <v>119033</v>
      </c>
      <c r="G42">
        <v>107102</v>
      </c>
      <c r="H42">
        <v>101450</v>
      </c>
      <c r="I42">
        <v>112608</v>
      </c>
      <c r="J42">
        <v>119503</v>
      </c>
      <c r="K42">
        <v>104407</v>
      </c>
    </row>
    <row r="43" spans="1:11" s="6" customFormat="1" x14ac:dyDescent="0.3">
      <c r="A43" s="6" t="s">
        <v>7</v>
      </c>
      <c r="B43">
        <v>92817.95</v>
      </c>
      <c r="C43">
        <v>89019</v>
      </c>
      <c r="D43">
        <v>91362</v>
      </c>
      <c r="E43">
        <v>95159</v>
      </c>
      <c r="F43">
        <v>102348</v>
      </c>
      <c r="G43">
        <v>91854</v>
      </c>
      <c r="H43">
        <v>89291</v>
      </c>
      <c r="I43">
        <v>100185</v>
      </c>
      <c r="J43">
        <v>102685</v>
      </c>
      <c r="K43">
        <v>94183</v>
      </c>
    </row>
    <row r="44" spans="1:11" s="6" customFormat="1" x14ac:dyDescent="0.3">
      <c r="A44" s="6" t="s">
        <v>9</v>
      </c>
      <c r="B44">
        <v>1452.86</v>
      </c>
      <c r="C44">
        <v>895</v>
      </c>
      <c r="D44">
        <v>1557</v>
      </c>
      <c r="E44">
        <v>1604</v>
      </c>
      <c r="F44">
        <v>1412</v>
      </c>
      <c r="G44">
        <v>6553</v>
      </c>
      <c r="H44">
        <v>1647</v>
      </c>
      <c r="I44">
        <v>1700</v>
      </c>
      <c r="J44">
        <v>1057</v>
      </c>
      <c r="K44">
        <v>1595</v>
      </c>
    </row>
    <row r="45" spans="1:11" s="6" customFormat="1" x14ac:dyDescent="0.3">
      <c r="A45" s="6" t="s">
        <v>10</v>
      </c>
      <c r="B45">
        <v>7050.2</v>
      </c>
      <c r="C45">
        <v>6633</v>
      </c>
      <c r="D45">
        <v>6637</v>
      </c>
      <c r="E45">
        <v>6850</v>
      </c>
      <c r="F45">
        <v>7143</v>
      </c>
      <c r="G45">
        <v>6565</v>
      </c>
      <c r="H45">
        <v>6005</v>
      </c>
      <c r="I45">
        <v>5399</v>
      </c>
      <c r="J45">
        <v>5295</v>
      </c>
      <c r="K45">
        <v>5320</v>
      </c>
    </row>
    <row r="46" spans="1:11" s="6" customFormat="1" x14ac:dyDescent="0.3">
      <c r="A46" s="6" t="s">
        <v>11</v>
      </c>
      <c r="B46">
        <v>2641.67</v>
      </c>
      <c r="C46">
        <v>2615</v>
      </c>
      <c r="D46">
        <v>2652</v>
      </c>
      <c r="E46">
        <v>2485</v>
      </c>
      <c r="F46">
        <v>1645</v>
      </c>
      <c r="G46">
        <v>1471</v>
      </c>
      <c r="H46">
        <v>2034</v>
      </c>
      <c r="I46">
        <v>1119</v>
      </c>
      <c r="J46">
        <v>1076</v>
      </c>
      <c r="K46">
        <v>938</v>
      </c>
    </row>
    <row r="47" spans="1:11" s="6" customFormat="1" x14ac:dyDescent="0.3">
      <c r="A47" s="6" t="s">
        <v>12</v>
      </c>
      <c r="B47">
        <v>4875.3900000000003</v>
      </c>
      <c r="C47">
        <v>4864</v>
      </c>
      <c r="D47">
        <v>6035</v>
      </c>
      <c r="E47">
        <v>7687</v>
      </c>
      <c r="F47">
        <v>9309</v>
      </c>
      <c r="G47">
        <v>13765</v>
      </c>
      <c r="H47">
        <v>5767</v>
      </c>
      <c r="I47">
        <v>7605</v>
      </c>
      <c r="J47">
        <v>11504</v>
      </c>
      <c r="K47">
        <v>5561</v>
      </c>
    </row>
    <row r="48" spans="1:11" s="6" customFormat="1" x14ac:dyDescent="0.3">
      <c r="A48" s="6" t="s">
        <v>13</v>
      </c>
      <c r="B48">
        <v>-620.65</v>
      </c>
      <c r="C48">
        <v>1563</v>
      </c>
      <c r="D48">
        <v>2203</v>
      </c>
      <c r="E48">
        <v>542</v>
      </c>
      <c r="F48">
        <v>-8219</v>
      </c>
      <c r="G48">
        <v>3178</v>
      </c>
      <c r="H48">
        <v>2317</v>
      </c>
      <c r="I48">
        <v>2120</v>
      </c>
      <c r="J48">
        <v>2948</v>
      </c>
      <c r="K48">
        <v>1558</v>
      </c>
    </row>
    <row r="49" spans="1:11" s="6" customFormat="1" x14ac:dyDescent="0.3">
      <c r="A49" s="6" t="s">
        <v>14</v>
      </c>
      <c r="B49">
        <v>5407.79</v>
      </c>
      <c r="C49">
        <v>3203</v>
      </c>
      <c r="D49">
        <v>3764</v>
      </c>
      <c r="E49">
        <v>7025</v>
      </c>
      <c r="F49">
        <v>17407</v>
      </c>
      <c r="G49">
        <v>10514</v>
      </c>
      <c r="H49">
        <v>3343</v>
      </c>
      <c r="I49">
        <v>5406</v>
      </c>
      <c r="J49">
        <v>8470</v>
      </c>
      <c r="K49">
        <v>3924</v>
      </c>
    </row>
    <row r="50" spans="1:11" x14ac:dyDescent="0.3">
      <c r="A50" s="6" t="s">
        <v>8</v>
      </c>
      <c r="B50">
        <v>13114.4</v>
      </c>
      <c r="C50">
        <v>13217</v>
      </c>
      <c r="D50">
        <v>13767</v>
      </c>
      <c r="E50">
        <v>15418</v>
      </c>
      <c r="F50">
        <v>16685</v>
      </c>
      <c r="G50">
        <v>15248</v>
      </c>
      <c r="H50">
        <v>12159</v>
      </c>
      <c r="I50">
        <v>12423</v>
      </c>
      <c r="J50">
        <v>16818</v>
      </c>
      <c r="K50">
        <v>10224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">
      <c r="A58" s="6" t="s">
        <v>25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">
      <c r="A59" s="6" t="s">
        <v>71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">
      <c r="A60" s="6" t="s">
        <v>72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">
      <c r="A61" s="1" t="s">
        <v>26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">
      <c r="A62" s="6" t="s">
        <v>27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">
      <c r="A63" s="6" t="s">
        <v>28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">
      <c r="A64" s="6" t="s">
        <v>29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">
      <c r="A65" s="6" t="s">
        <v>73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">
      <c r="A66" s="1" t="s">
        <v>26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3">
      <c r="A67" s="6" t="s">
        <v>78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">
      <c r="A68" s="6" t="s">
        <v>45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">
      <c r="A69" s="4" t="s">
        <v>87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">
      <c r="A70" s="4" t="s">
        <v>74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3">
      <c r="A83" s="6" t="s">
        <v>33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3">
      <c r="A84" s="6" t="s">
        <v>34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">
      <c r="A85" s="6" t="s">
        <v>35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288.72000000000003</v>
      </c>
      <c r="C93" s="24">
        <v>288.73</v>
      </c>
      <c r="D93" s="24">
        <v>288.73</v>
      </c>
      <c r="E93" s="24">
        <v>288.73</v>
      </c>
      <c r="F93" s="24">
        <v>308.89999999999998</v>
      </c>
      <c r="G93" s="24">
        <v>332.03</v>
      </c>
      <c r="H93" s="24">
        <v>332.07</v>
      </c>
      <c r="I93" s="24">
        <v>332.13</v>
      </c>
      <c r="J93" s="24">
        <v>332.37</v>
      </c>
      <c r="K93" s="24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Anikett Chawla</cp:lastModifiedBy>
  <cp:lastPrinted>2012-12-06T18:14:13Z</cp:lastPrinted>
  <dcterms:created xsi:type="dcterms:W3CDTF">2012-08-17T09:55:37Z</dcterms:created>
  <dcterms:modified xsi:type="dcterms:W3CDTF">2026-02-22T14:33:08Z</dcterms:modified>
</cp:coreProperties>
</file>